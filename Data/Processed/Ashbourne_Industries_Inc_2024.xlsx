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ita\Downloads\"/>
    </mc:Choice>
  </mc:AlternateContent>
  <xr:revisionPtr revIDLastSave="0" documentId="13_ncr:1_{FEA4DC7D-F002-4C52-8962-118D2A897F3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2024 Monthly Trial Balanc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89" i="1" l="1"/>
  <c r="N489" i="1"/>
  <c r="M489" i="1"/>
  <c r="H489" i="1"/>
  <c r="G489" i="1"/>
  <c r="E489" i="1"/>
  <c r="Q488" i="1"/>
  <c r="Q489" i="1" s="1"/>
  <c r="P488" i="1"/>
  <c r="P489" i="1" s="1"/>
  <c r="O488" i="1"/>
  <c r="O489" i="1" s="1"/>
  <c r="N488" i="1"/>
  <c r="M488" i="1"/>
  <c r="L488" i="1"/>
  <c r="L489" i="1" s="1"/>
  <c r="K488" i="1"/>
  <c r="K489" i="1" s="1"/>
  <c r="J488" i="1"/>
  <c r="J489" i="1" s="1"/>
  <c r="I488" i="1"/>
  <c r="I489" i="1" s="1"/>
  <c r="H488" i="1"/>
  <c r="G488" i="1"/>
  <c r="F488" i="1"/>
  <c r="F489" i="1" s="1"/>
  <c r="Q10" i="1"/>
  <c r="P10" i="1"/>
  <c r="O10" i="1"/>
  <c r="N10" i="1"/>
  <c r="M10" i="1"/>
  <c r="L10" i="1"/>
  <c r="K10" i="1"/>
  <c r="J10" i="1"/>
  <c r="I10" i="1"/>
  <c r="H10" i="1"/>
  <c r="G10" i="1"/>
  <c r="F10" i="1"/>
  <c r="D10" i="1"/>
  <c r="Q9" i="1"/>
  <c r="P9" i="1"/>
  <c r="O9" i="1"/>
  <c r="N9" i="1"/>
  <c r="M9" i="1"/>
  <c r="L9" i="1"/>
  <c r="K9" i="1"/>
  <c r="J9" i="1"/>
  <c r="I9" i="1"/>
  <c r="H9" i="1"/>
  <c r="G9" i="1"/>
  <c r="F9" i="1"/>
  <c r="D9" i="1"/>
  <c r="Q8" i="1"/>
  <c r="P8" i="1"/>
  <c r="O8" i="1"/>
  <c r="N8" i="1"/>
  <c r="M8" i="1"/>
  <c r="L8" i="1"/>
  <c r="K8" i="1"/>
  <c r="J8" i="1"/>
  <c r="I8" i="1"/>
  <c r="H8" i="1"/>
  <c r="G8" i="1"/>
  <c r="F8" i="1"/>
  <c r="D8" i="1"/>
  <c r="Q7" i="1"/>
  <c r="Q11" i="1" s="1"/>
  <c r="P7" i="1"/>
  <c r="P11" i="1" s="1"/>
  <c r="O7" i="1"/>
  <c r="O11" i="1" s="1"/>
  <c r="N7" i="1"/>
  <c r="N11" i="1" s="1"/>
  <c r="M7" i="1"/>
  <c r="M11" i="1" s="1"/>
  <c r="L7" i="1"/>
  <c r="L11" i="1" s="1"/>
  <c r="K7" i="1"/>
  <c r="K11" i="1" s="1"/>
  <c r="J7" i="1"/>
  <c r="J11" i="1" s="1"/>
  <c r="I7" i="1"/>
  <c r="I11" i="1" s="1"/>
  <c r="H7" i="1"/>
  <c r="H11" i="1" s="1"/>
  <c r="G7" i="1"/>
  <c r="G11" i="1" s="1"/>
  <c r="F7" i="1"/>
  <c r="F11" i="1" s="1"/>
  <c r="D7" i="1"/>
  <c r="D11" i="1" s="1"/>
  <c r="Q6" i="1"/>
  <c r="P6" i="1"/>
  <c r="O6" i="1"/>
  <c r="N6" i="1"/>
  <c r="M6" i="1"/>
  <c r="L6" i="1"/>
  <c r="K6" i="1"/>
  <c r="J6" i="1"/>
  <c r="I6" i="1"/>
  <c r="H6" i="1"/>
  <c r="G6" i="1"/>
  <c r="F6" i="1"/>
</calcChain>
</file>

<file path=xl/sharedStrings.xml><?xml version="1.0" encoding="utf-8"?>
<sst xmlns="http://schemas.openxmlformats.org/spreadsheetml/2006/main" count="500" uniqueCount="358">
  <si>
    <t>Ashbourne Industries, Inc.</t>
  </si>
  <si>
    <t>Summary</t>
  </si>
  <si>
    <t>Code</t>
  </si>
  <si>
    <t>Description</t>
  </si>
  <si>
    <t>Total</t>
  </si>
  <si>
    <t>Dec = year-end (D)</t>
  </si>
  <si>
    <t>Assets</t>
  </si>
  <si>
    <t>Liabilities &amp; Equity</t>
  </si>
  <si>
    <t>Revenue</t>
  </si>
  <si>
    <t>40000 to 80000</t>
  </si>
  <si>
    <t>Expenses</t>
  </si>
  <si>
    <t>Net (should be 0)</t>
  </si>
  <si>
    <t>Account Name</t>
  </si>
  <si>
    <t>JAN</t>
  </si>
  <si>
    <t>FEB</t>
  </si>
  <si>
    <t>MARCH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</si>
  <si>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</si>
  <si>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</si>
  <si>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</si>
  <si>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</si>
  <si>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</si>
  <si>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</si>
  <si>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</si>
  <si>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</si>
  <si>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</si>
  <si>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Petty Cash -</t>
  </si>
  <si>
    <t>Operating Cash</t>
  </si>
  <si>
    <t>Master Cash A</t>
  </si>
  <si>
    <t>Cash Account</t>
  </si>
  <si>
    <t>Cash-Hourly P</t>
  </si>
  <si>
    <t>Cash-Salaried</t>
  </si>
  <si>
    <t>Investments</t>
  </si>
  <si>
    <t>Trade Account</t>
  </si>
  <si>
    <t>Trade A/R Run</t>
  </si>
  <si>
    <t>Allowance for</t>
  </si>
  <si>
    <t>Employee Acco</t>
  </si>
  <si>
    <t>Travel Advanc</t>
  </si>
  <si>
    <t>Misc A/R</t>
  </si>
  <si>
    <t>A/R - Freight</t>
  </si>
  <si>
    <t>A/R - Carl</t>
  </si>
  <si>
    <t>A/R-Refundabl</t>
  </si>
  <si>
    <t>A/R - Frank ind.</t>
  </si>
  <si>
    <t>A/R sarah co</t>
  </si>
  <si>
    <t>N/R - RS</t>
  </si>
  <si>
    <t>Note Receivab</t>
  </si>
  <si>
    <t>Accounts Rece</t>
  </si>
  <si>
    <t>Raw Materials</t>
  </si>
  <si>
    <t>Work In Progr</t>
  </si>
  <si>
    <t>WIP - LIFO Re</t>
  </si>
  <si>
    <t>Finished Good</t>
  </si>
  <si>
    <t>FG Green tuff</t>
  </si>
  <si>
    <t xml:space="preserve">FG Bio </t>
  </si>
  <si>
    <t>FG Flow</t>
  </si>
  <si>
    <t>Supply Invent</t>
  </si>
  <si>
    <t>material G</t>
  </si>
  <si>
    <t>Investment In GRG</t>
  </si>
  <si>
    <t>Prepaid Asset</t>
  </si>
  <si>
    <t>Prepaid W/C -</t>
  </si>
  <si>
    <t>Prepaid W/C</t>
  </si>
  <si>
    <t>PPD Ins - Pro</t>
  </si>
  <si>
    <t>PPD Ins - Aut</t>
  </si>
  <si>
    <t>PPD Ins - Gen</t>
  </si>
  <si>
    <t>PPD Ins - Dir</t>
  </si>
  <si>
    <t>PPD Ins - Con</t>
  </si>
  <si>
    <t>PPD Ins - Bon</t>
  </si>
  <si>
    <t>PPD Ins - Lif</t>
  </si>
  <si>
    <t>PPD Ins - Int</t>
  </si>
  <si>
    <t>PPD Ins - Pol</t>
  </si>
  <si>
    <t>Prepaid Rent</t>
  </si>
  <si>
    <t>Prepaid Railc</t>
  </si>
  <si>
    <t>Prepaid Softw</t>
  </si>
  <si>
    <t>Suspense Debi</t>
  </si>
  <si>
    <t>Prepaid Agent</t>
  </si>
  <si>
    <t>Prepaid Acqui</t>
  </si>
  <si>
    <t>Deferred Tax</t>
  </si>
  <si>
    <t>Deferred Fina</t>
  </si>
  <si>
    <t>PPD Freight -</t>
  </si>
  <si>
    <t>Deposits - Re</t>
  </si>
  <si>
    <t>Deposits - Mi</t>
  </si>
  <si>
    <t>Deposits - Ra</t>
  </si>
  <si>
    <t>Deposits - En</t>
  </si>
  <si>
    <t>Deposits - Ho</t>
  </si>
  <si>
    <t>Deposits - Ga</t>
  </si>
  <si>
    <t>Deposits - El</t>
  </si>
  <si>
    <t>Deferred Stri</t>
  </si>
  <si>
    <t>Prepaid Manag</t>
  </si>
  <si>
    <t>Depletable La</t>
  </si>
  <si>
    <t>Reclamation</t>
  </si>
  <si>
    <t>Land</t>
  </si>
  <si>
    <t>Land Improvem</t>
  </si>
  <si>
    <t>Mineral Right</t>
  </si>
  <si>
    <t>Buildings</t>
  </si>
  <si>
    <t>Machinery &amp; E</t>
  </si>
  <si>
    <t>Trucks &amp; Auto</t>
  </si>
  <si>
    <t>Furniture &amp; F</t>
  </si>
  <si>
    <t>Leasehold Imp</t>
  </si>
  <si>
    <t>Construction</t>
  </si>
  <si>
    <t>Accum. Depr.</t>
  </si>
  <si>
    <t>Accum.- Depl.</t>
  </si>
  <si>
    <t>Accum. Amort</t>
  </si>
  <si>
    <t>Investment in</t>
  </si>
  <si>
    <t>Split Dollar</t>
  </si>
  <si>
    <t>Notes Receiva</t>
  </si>
  <si>
    <t>Other Assets</t>
  </si>
  <si>
    <t>Intercompany</t>
  </si>
  <si>
    <t>Accum Amort.</t>
  </si>
  <si>
    <t>Patents</t>
  </si>
  <si>
    <t xml:space="preserve">Non-Compete </t>
  </si>
  <si>
    <t>Goodwill</t>
  </si>
  <si>
    <t>ASB technoogy investment</t>
  </si>
  <si>
    <t>Accum Amortiz</t>
  </si>
  <si>
    <t>Intangible - C</t>
  </si>
  <si>
    <t>Intangible - D</t>
  </si>
  <si>
    <t>Intangible - E</t>
  </si>
  <si>
    <t>Trade A/P Run</t>
  </si>
  <si>
    <t>Misc. A/P - F</t>
  </si>
  <si>
    <t>Accrued Trade</t>
  </si>
  <si>
    <t>Received Not</t>
  </si>
  <si>
    <t>Accrued Legal</t>
  </si>
  <si>
    <t>Accrued Profe</t>
  </si>
  <si>
    <t>Accrued Membe</t>
  </si>
  <si>
    <t>Accrued Manag</t>
  </si>
  <si>
    <t>Accrued Trans</t>
  </si>
  <si>
    <t>Accrued Demur</t>
  </si>
  <si>
    <t>Accrued Handl</t>
  </si>
  <si>
    <t>Accrued Unit</t>
  </si>
  <si>
    <t>Accrued Contr</t>
  </si>
  <si>
    <t>Accrued Commi</t>
  </si>
  <si>
    <t>Accrued Elect</t>
  </si>
  <si>
    <t>Purchased Ton</t>
  </si>
  <si>
    <t>Accrued Royal</t>
  </si>
  <si>
    <t>Accrued Recla</t>
  </si>
  <si>
    <t>Accrued Inter</t>
  </si>
  <si>
    <t>Accrued Payro</t>
  </si>
  <si>
    <t>Accrued 401(k</t>
  </si>
  <si>
    <t>Accrued Vacat</t>
  </si>
  <si>
    <t>Accrued Bonus</t>
  </si>
  <si>
    <t>Accrued Safet</t>
  </si>
  <si>
    <t>Accrued Stock</t>
  </si>
  <si>
    <t>Accrued SERP</t>
  </si>
  <si>
    <t>Accrued Pensi</t>
  </si>
  <si>
    <t>Group Health</t>
  </si>
  <si>
    <t>Termination L</t>
  </si>
  <si>
    <t>Accrued Flex</t>
  </si>
  <si>
    <t>Accrued Worke</t>
  </si>
  <si>
    <t>Worker's Comp</t>
  </si>
  <si>
    <t>Federal Withh</t>
  </si>
  <si>
    <t>State Withhol</t>
  </si>
  <si>
    <t>FICA - Employ</t>
  </si>
  <si>
    <t>Federal Unemp</t>
  </si>
  <si>
    <t>State Unemplo</t>
  </si>
  <si>
    <t>Union Dues</t>
  </si>
  <si>
    <t>Employee Cont</t>
  </si>
  <si>
    <t>Employee W/H</t>
  </si>
  <si>
    <t>Garnishments</t>
  </si>
  <si>
    <t>United Way</t>
  </si>
  <si>
    <t>Optional Life</t>
  </si>
  <si>
    <t>Wellness</t>
  </si>
  <si>
    <t>Sales &amp; Use T</t>
  </si>
  <si>
    <t>Sales Tax Pay</t>
  </si>
  <si>
    <t>Sales Tax - S</t>
  </si>
  <si>
    <t>Accrued Real</t>
  </si>
  <si>
    <t>Deposits Paya</t>
  </si>
  <si>
    <t>Accrued Earno</t>
  </si>
  <si>
    <t>Accrued Feder</t>
  </si>
  <si>
    <t>Accr. State I</t>
  </si>
  <si>
    <t>Current Porti</t>
  </si>
  <si>
    <t>Deferred Reve</t>
  </si>
  <si>
    <t>Line of Credi</t>
  </si>
  <si>
    <t>Long Term Por</t>
  </si>
  <si>
    <t>Long Term Deb</t>
  </si>
  <si>
    <t>LT Debt- Chey</t>
  </si>
  <si>
    <t>Capital Lease</t>
  </si>
  <si>
    <t>Deferred Inco</t>
  </si>
  <si>
    <t>Accrued FIN 4</t>
  </si>
  <si>
    <t>Deferred Comp</t>
  </si>
  <si>
    <t>Deferred Tech</t>
  </si>
  <si>
    <t>Other Liabili</t>
  </si>
  <si>
    <t>Accrued Swap</t>
  </si>
  <si>
    <t>Legal Reserve</t>
  </si>
  <si>
    <t>Other Notes P</t>
  </si>
  <si>
    <t>Minority Inte</t>
  </si>
  <si>
    <t>LT Reclamatio</t>
  </si>
  <si>
    <t>Common Stock</t>
  </si>
  <si>
    <t>Additional Pa</t>
  </si>
  <si>
    <t>Other Compreh</t>
  </si>
  <si>
    <t>Treasury Stoc</t>
  </si>
  <si>
    <t>Retained Earn</t>
  </si>
  <si>
    <t>Dividends/Dis</t>
  </si>
  <si>
    <t>Commission In</t>
  </si>
  <si>
    <t>Commission Ex</t>
  </si>
  <si>
    <t>Royalties/Reb</t>
  </si>
  <si>
    <t>Handling &amp; St</t>
  </si>
  <si>
    <t>Transportatio</t>
  </si>
  <si>
    <t>Transporation</t>
  </si>
  <si>
    <t>Product Sales</t>
  </si>
  <si>
    <t>Prdct.Sales-D</t>
  </si>
  <si>
    <t>Sales-C</t>
  </si>
  <si>
    <t>Sales-D</t>
  </si>
  <si>
    <t>Sales-E</t>
  </si>
  <si>
    <t>Sales - S</t>
  </si>
  <si>
    <t>Sales - Bio S</t>
  </si>
  <si>
    <t>Sales-W</t>
  </si>
  <si>
    <t>Packaging Sal</t>
  </si>
  <si>
    <t>Trade Discoun</t>
  </si>
  <si>
    <t>Allowances an</t>
  </si>
  <si>
    <t>COGS - Standa</t>
  </si>
  <si>
    <t>COGS-Std. Dir</t>
  </si>
  <si>
    <t>COGS - Supers</t>
  </si>
  <si>
    <t>COGS - Bio Se</t>
  </si>
  <si>
    <t>COGS - Additi</t>
  </si>
  <si>
    <t>COGS - Resins</t>
  </si>
  <si>
    <t>COGS - Frt Co</t>
  </si>
  <si>
    <t>COGS - Price</t>
  </si>
  <si>
    <t>COGS - Inv. L</t>
  </si>
  <si>
    <t>COGS - Proces</t>
  </si>
  <si>
    <t>COGS - Credit</t>
  </si>
  <si>
    <t>FG Inventory</t>
  </si>
  <si>
    <t>Bagging &amp; Other</t>
  </si>
  <si>
    <t>Other Bagging</t>
  </si>
  <si>
    <t>Raw Material</t>
  </si>
  <si>
    <t>Raw Material-</t>
  </si>
  <si>
    <t>Material Cost</t>
  </si>
  <si>
    <t>Resins</t>
  </si>
  <si>
    <t>Resins - B</t>
  </si>
  <si>
    <t>Additives</t>
  </si>
  <si>
    <t>Production La</t>
  </si>
  <si>
    <t>Safety Bonus</t>
  </si>
  <si>
    <t>Maintenence L</t>
  </si>
  <si>
    <t>Maintenance L</t>
  </si>
  <si>
    <t>Fringe - Work</t>
  </si>
  <si>
    <t>Fringe - Heal</t>
  </si>
  <si>
    <t>Fringe - Pens</t>
  </si>
  <si>
    <t>Fringe - FICA</t>
  </si>
  <si>
    <t>Fringe - 401K</t>
  </si>
  <si>
    <t>Contract Serv</t>
  </si>
  <si>
    <t>Trans. from T</t>
  </si>
  <si>
    <t>Electric Powe</t>
  </si>
  <si>
    <t>Dryer Fuel</t>
  </si>
  <si>
    <t>Bags</t>
  </si>
  <si>
    <t>Bulk Bags</t>
  </si>
  <si>
    <t>Pallets</t>
  </si>
  <si>
    <t>Other Product</t>
  </si>
  <si>
    <t>Other Prod Su</t>
  </si>
  <si>
    <t>Gas Oil &amp; Gre</t>
  </si>
  <si>
    <t>Explosives</t>
  </si>
  <si>
    <t xml:space="preserve">Maintenence </t>
  </si>
  <si>
    <t>Maint - Deliv</t>
  </si>
  <si>
    <t>Maint - Wear</t>
  </si>
  <si>
    <t>Maint - Garag</t>
  </si>
  <si>
    <t>Amortization</t>
  </si>
  <si>
    <t>Royalties</t>
  </si>
  <si>
    <t>Dumping</t>
  </si>
  <si>
    <t>Plant Travel/</t>
  </si>
  <si>
    <t>T &amp; E - Trave</t>
  </si>
  <si>
    <t>T &amp; E - Lodgi</t>
  </si>
  <si>
    <t>T &amp; E - Milea</t>
  </si>
  <si>
    <t>T &amp; E - Auto</t>
  </si>
  <si>
    <t>T &amp; E - Meals</t>
  </si>
  <si>
    <t>T &amp; E - Mtgs/</t>
  </si>
  <si>
    <t>Safety/Traini</t>
  </si>
  <si>
    <t>Safety Gloves</t>
  </si>
  <si>
    <t>Clothing Allo</t>
  </si>
  <si>
    <t>Safety Shoes</t>
  </si>
  <si>
    <t>Safety Glasse</t>
  </si>
  <si>
    <t>Tool Allowanc</t>
  </si>
  <si>
    <t>Training/Educ</t>
  </si>
  <si>
    <t>Safety Awards</t>
  </si>
  <si>
    <t>Employee Phys</t>
  </si>
  <si>
    <t>Plant Lab Sup</t>
  </si>
  <si>
    <t>Plant Lab Tes</t>
  </si>
  <si>
    <t>Miscellaneous</t>
  </si>
  <si>
    <t>Misc Exp - E</t>
  </si>
  <si>
    <t>Misc. Exp - O</t>
  </si>
  <si>
    <t>Misc. Exp - P</t>
  </si>
  <si>
    <t>Contract D</t>
  </si>
  <si>
    <t>Contract Del</t>
  </si>
  <si>
    <t>Demurrage</t>
  </si>
  <si>
    <t>Demurrage - I</t>
  </si>
  <si>
    <t>Demurrage - T</t>
  </si>
  <si>
    <t>Penalties - T</t>
  </si>
  <si>
    <t>Personnel - O</t>
  </si>
  <si>
    <t>Personnel Lab</t>
  </si>
  <si>
    <t>Fringe - Life</t>
  </si>
  <si>
    <t>Fringe - LTD</t>
  </si>
  <si>
    <t>Plant Custodi</t>
  </si>
  <si>
    <t>Other Taxes/L</t>
  </si>
  <si>
    <t>Real Estate T</t>
  </si>
  <si>
    <t>Other Taxes</t>
  </si>
  <si>
    <t>Operating Lic</t>
  </si>
  <si>
    <t>Duties</t>
  </si>
  <si>
    <t>Other Utiliti</t>
  </si>
  <si>
    <t>Communication</t>
  </si>
  <si>
    <t>Rail Car Rent</t>
  </si>
  <si>
    <t>Railcar Utili</t>
  </si>
  <si>
    <t>Railcar Maint</t>
  </si>
  <si>
    <t>Railcar Other</t>
  </si>
  <si>
    <t>Rentals/Lease</t>
  </si>
  <si>
    <t>Depletion</t>
  </si>
  <si>
    <t>Depr. - Land</t>
  </si>
  <si>
    <t>Amort - Miner</t>
  </si>
  <si>
    <t>Depr. - Build</t>
  </si>
  <si>
    <t>Depr. - Machi</t>
  </si>
  <si>
    <t>Depr. - Truck</t>
  </si>
  <si>
    <t>Depr. - Furni</t>
  </si>
  <si>
    <t>Depr. - Lease</t>
  </si>
  <si>
    <t>Insurance</t>
  </si>
  <si>
    <t>Salaries - S</t>
  </si>
  <si>
    <t>Professional</t>
  </si>
  <si>
    <t>Prof. Service</t>
  </si>
  <si>
    <t>Office Servic</t>
  </si>
  <si>
    <t>Software Main</t>
  </si>
  <si>
    <t>Pers. Serv. -</t>
  </si>
  <si>
    <t>Advertising/P</t>
  </si>
  <si>
    <t>Sales Demonst</t>
  </si>
  <si>
    <t>Trade Show Ex</t>
  </si>
  <si>
    <t>Office Suppli</t>
  </si>
  <si>
    <t>Postage</t>
  </si>
  <si>
    <t>T &amp; E - Speci</t>
  </si>
  <si>
    <t>Maint - Repai</t>
  </si>
  <si>
    <t>Maint. - Cust</t>
  </si>
  <si>
    <t>Auto Expense</t>
  </si>
  <si>
    <t>Utilities</t>
  </si>
  <si>
    <t>Depr. - Mach</t>
  </si>
  <si>
    <t>Depr. - Furn</t>
  </si>
  <si>
    <t>Taxes</t>
  </si>
  <si>
    <t>Real Estate a</t>
  </si>
  <si>
    <t>Misc. Expense</t>
  </si>
  <si>
    <t>Community Inv</t>
  </si>
  <si>
    <t>Misc. Exp - G</t>
  </si>
  <si>
    <t>Misc. Exp.-Br</t>
  </si>
  <si>
    <t>FML Overhead</t>
  </si>
  <si>
    <t>Managment Fee</t>
  </si>
  <si>
    <t>Management ex</t>
  </si>
  <si>
    <t>NBV of Asset</t>
  </si>
  <si>
    <t>Cash Proceeds</t>
  </si>
  <si>
    <t>Co. Housing I</t>
  </si>
  <si>
    <t>Misc. Other I</t>
  </si>
  <si>
    <t>Gains/Losses</t>
  </si>
  <si>
    <t>Gains/Losses-</t>
  </si>
  <si>
    <t>A/P Discounts</t>
  </si>
  <si>
    <t>Farm Income</t>
  </si>
  <si>
    <t>Rental Income</t>
  </si>
  <si>
    <t>Co. Housing E</t>
  </si>
  <si>
    <t>Misc. Other E</t>
  </si>
  <si>
    <t>Bad Debt Expense</t>
  </si>
  <si>
    <t xml:space="preserve">Non Recur </t>
  </si>
  <si>
    <t>Interest - Te</t>
  </si>
  <si>
    <t>Interest - Li</t>
  </si>
  <si>
    <t>Interest - Ag</t>
  </si>
  <si>
    <t>Interest - Sw</t>
  </si>
  <si>
    <t>Interest - Co</t>
  </si>
  <si>
    <t>Other Interes</t>
  </si>
  <si>
    <t>Interest Income</t>
  </si>
  <si>
    <t>Federal Income Tax</t>
  </si>
  <si>
    <t>State Income Tax</t>
  </si>
  <si>
    <t>Total (Debits less Credits)</t>
  </si>
  <si>
    <t>2024 Monthly TrIal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</si>
</sst>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\-??_);_(@_)"/>
  </numFmts>
  <fonts count="4" x14ac:knownFonts="1">
    <font>
      <sz val="11"/>
      <color theme="1"/>
      <name val="Calibri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/>
    <xf numFmtId="0" fontId="2" fillId="0" borderId="0" xfId="0" applyFont="1" applyAlignment="1">
      <alignment horizontal="left"/>
    </xf>
    <xf numFmtId="3" fontId="0" fillId="0" borderId="0" xfId="0" applyNumberFormat="1"/>
    <xf numFmtId="3" fontId="2" fillId="0" borderId="0" xfId="0" applyNumberFormat="1" applyFont="1"/>
    <xf numFmtId="3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 applyAlignment="1">
      <alignment horizontal="right"/>
    </xf>
    <xf numFmtId="0" fontId="1" fillId="0" borderId="3" xfId="0" applyFont="1" applyBorder="1"/>
    <xf numFmtId="0" fontId="2" fillId="0" borderId="3" xfId="0" applyFont="1" applyBorder="1"/>
    <xf numFmtId="3" fontId="2" fillId="0" borderId="2" xfId="0" applyNumberFormat="1" applyFont="1" applyBorder="1" applyAlignment="1">
      <alignment horizontal="right"/>
    </xf>
    <xf numFmtId="3" fontId="1" fillId="0" borderId="2" xfId="0" applyNumberFormat="1" applyFont="1" applyBorder="1"/>
    <xf numFmtId="0" fontId="3" fillId="3" borderId="0" xfId="0" applyFont="1" applyFill="1" applyAlignment="1">
      <alignment horizontal="right"/>
    </xf>
    <xf numFmtId="0" fontId="3" fillId="3" borderId="0" xfId="0" applyFont="1" applyFill="1"/>
    <xf numFmtId="0" fontId="2" fillId="0" borderId="4" xfId="0" applyFont="1" applyBorder="1" applyAlignment="1">
      <alignment horizontal="right"/>
    </xf>
    <xf numFmtId="0" fontId="0" fillId="0" borderId="0" xfId="0" applyAlignment="1">
      <alignment horizontal="left"/>
    </xf>
    <xf numFmtId="3" fontId="2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6"/>
  <sheetViews>
    <sheetView showGridLines="0" tabSelected="1" topLeftCell="A401" zoomScaleNormal="100" workbookViewId="0">
      <selection activeCell="C20" sqref="C20"/>
    </sheetView>
  </sheetViews>
  <sheetFormatPr defaultColWidth="14.42578125" defaultRowHeight="15" x14ac:dyDescent="0.25"/>
  <cols>
    <col min="1" max="1" width="4" customWidth="1"/>
    <col min="2" max="2" width="16" customWidth="1"/>
    <col min="3" max="3" width="36.42578125" customWidth="1"/>
    <col min="4" max="4" width="14.140625" bestFit="1" customWidth="1"/>
    <col min="5" max="5" width="22.7109375" customWidth="1"/>
    <col min="6" max="15" width="14.85546875" bestFit="1" customWidth="1"/>
    <col min="16" max="17" width="15.5703125" customWidth="1"/>
    <col min="18" max="27" width="8.7109375" customWidth="1"/>
  </cols>
  <sheetData>
    <row r="1" spans="1:17" ht="14.25" customHeight="1" x14ac:dyDescent="0.25"/>
    <row r="2" spans="1:17" ht="14.25" customHeight="1" x14ac:dyDescent="0.25">
      <c r="A2" s="1"/>
      <c r="B2" s="2" t="s">
        <v>0</v>
      </c>
      <c r="C2" s="3"/>
    </row>
    <row r="3" spans="1:17" ht="14.25" customHeight="1" x14ac:dyDescent="0.25">
      <c r="A3" s="1"/>
      <c r="B3" s="2" t="s">
        <v>357</v>
      </c>
      <c r="C3" s="3"/>
    </row>
    <row r="4" spans="1:17" ht="14.25" customHeight="1" x14ac:dyDescent="0.25">
      <c r="A4" s="1"/>
      <c r="B4" s="1"/>
      <c r="C4" s="1"/>
    </row>
    <row r="5" spans="1:17" ht="14.25" customHeight="1" x14ac:dyDescent="0.25">
      <c r="A5" s="1"/>
      <c r="B5" s="21" t="s">
        <v>1</v>
      </c>
      <c r="C5" s="21"/>
      <c r="D5" s="21"/>
    </row>
    <row r="6" spans="1:17" ht="14.25" customHeight="1" x14ac:dyDescent="0.25">
      <c r="A6" s="1"/>
      <c r="B6" s="4" t="s">
        <v>2</v>
      </c>
      <c r="C6" s="12" t="s">
        <v>3</v>
      </c>
      <c r="D6" s="2" t="s">
        <v>4</v>
      </c>
      <c r="E6" s="17" t="s">
        <v>5</v>
      </c>
      <c r="F6" s="16" t="str">
        <f t="shared" ref="F6:Q6" si="0">F12</f>
        <v>JAN</v>
      </c>
      <c r="G6" s="16" t="str">
        <f t="shared" si="0"/>
        <v>FEB</v>
      </c>
      <c r="H6" s="16" t="str">
        <f t="shared" si="0"/>
        <v>MARCH</v>
      </c>
      <c r="I6" s="16" t="str">
        <f t="shared" si="0"/>
        <v>APRIL</v>
      </c>
      <c r="J6" s="16" t="str">
        <f t="shared" si="0"/>
        <v>MAY</v>
      </c>
      <c r="K6" s="16" t="str">
        <f t="shared" si="0"/>
        <v>JUNE</v>
      </c>
      <c r="L6" s="16" t="str">
        <f t="shared" si="0"/>
        <v>JULY</v>
      </c>
      <c r="M6" s="16" t="str">
        <f t="shared" si="0"/>
        <v>AUG</v>
      </c>
      <c r="N6" s="16" t="str">
        <f t="shared" si="0"/>
        <v>SEPT</v>
      </c>
      <c r="O6" s="16" t="str">
        <f t="shared" si="0"/>
        <v>OCT</v>
      </c>
      <c r="P6" s="16" t="str">
        <f t="shared" si="0"/>
        <v>NOV</v>
      </c>
      <c r="Q6" s="16" t="str">
        <f t="shared" si="0"/>
        <v>DEC</v>
      </c>
    </row>
    <row r="7" spans="1:17" ht="14.25" customHeight="1" x14ac:dyDescent="0.25">
      <c r="A7" s="5"/>
      <c r="B7" s="22">
        <v>10000</v>
      </c>
      <c r="C7" s="13" t="s">
        <v>6</v>
      </c>
      <c r="D7" s="14">
        <f>SUMIFS(Q$13:Q$485,$D$13:$D$485,"&gt;=10000",$D$13:$D$485,"&lt;20000")</f>
        <v>1263879322</v>
      </c>
      <c r="F7" s="6">
        <f t="shared" ref="F7:Q7" si="1">SUMIFS(F$13:F$485,$D$13:$D$485,"&gt;=10000",$D$13:$D$485,"&lt;20000")</f>
        <v>688869710</v>
      </c>
      <c r="G7" s="6">
        <f t="shared" si="1"/>
        <v>716124006</v>
      </c>
      <c r="H7" s="6">
        <f t="shared" si="1"/>
        <v>734483340</v>
      </c>
      <c r="I7" s="6">
        <f t="shared" si="1"/>
        <v>782871031</v>
      </c>
      <c r="J7" s="7">
        <f t="shared" si="1"/>
        <v>767748085</v>
      </c>
      <c r="K7" s="6">
        <f t="shared" si="1"/>
        <v>841901769</v>
      </c>
      <c r="L7" s="6">
        <f t="shared" si="1"/>
        <v>860693092</v>
      </c>
      <c r="M7" s="6">
        <f t="shared" si="1"/>
        <v>870065321</v>
      </c>
      <c r="N7" s="6">
        <f t="shared" si="1"/>
        <v>1277973046</v>
      </c>
      <c r="O7" s="6">
        <f t="shared" si="1"/>
        <v>1271808845</v>
      </c>
      <c r="P7" s="6">
        <f t="shared" si="1"/>
        <v>1285195085</v>
      </c>
      <c r="Q7" s="6">
        <f t="shared" si="1"/>
        <v>1263879322</v>
      </c>
    </row>
    <row r="8" spans="1:17" ht="14.25" customHeight="1" x14ac:dyDescent="0.25">
      <c r="A8" s="5"/>
      <c r="B8" s="22">
        <v>20000</v>
      </c>
      <c r="C8" s="13" t="s">
        <v>7</v>
      </c>
      <c r="D8" s="14">
        <f>SUMIFS(Q$13:Q$485,$D$13:$D$485,"&gt;=20000",$D$13:$D$485,"&lt;30000")</f>
        <v>-1263879320</v>
      </c>
      <c r="F8" s="6">
        <f t="shared" ref="F8:Q8" si="2">SUMIFS(F$13:F$485,$D$13:$D$485,"&gt;=20000",$D$13:$D$485,"&lt;30000")</f>
        <v>-678113912</v>
      </c>
      <c r="G8" s="6">
        <f t="shared" si="2"/>
        <v>-694356009</v>
      </c>
      <c r="H8" s="6">
        <f t="shared" si="2"/>
        <v>-699429580</v>
      </c>
      <c r="I8" s="6">
        <f t="shared" si="2"/>
        <v>-735142192</v>
      </c>
      <c r="J8" s="7">
        <f t="shared" si="2"/>
        <v>-708186572</v>
      </c>
      <c r="K8" s="6">
        <f t="shared" si="2"/>
        <v>-771691350</v>
      </c>
      <c r="L8" s="6">
        <f t="shared" si="2"/>
        <v>-779577440</v>
      </c>
      <c r="M8" s="6">
        <f t="shared" si="2"/>
        <v>-777004849</v>
      </c>
      <c r="N8" s="6">
        <f t="shared" si="2"/>
        <v>-1173520470</v>
      </c>
      <c r="O8" s="6">
        <f t="shared" si="2"/>
        <v>-1163978978</v>
      </c>
      <c r="P8" s="6">
        <f t="shared" si="2"/>
        <v>-1167539223</v>
      </c>
      <c r="Q8" s="6">
        <f t="shared" si="2"/>
        <v>-1263879320</v>
      </c>
    </row>
    <row r="9" spans="1:17" ht="14.25" customHeight="1" x14ac:dyDescent="0.25">
      <c r="A9" s="5"/>
      <c r="B9" s="22">
        <v>30000</v>
      </c>
      <c r="C9" s="13" t="s">
        <v>8</v>
      </c>
      <c r="D9" s="14">
        <f>SUMIFS(Q$13:Q$485,$D$13:$D$485,"&gt;=30000",$D$13:$D$485,"&lt;40000")</f>
        <v>-988385863</v>
      </c>
      <c r="F9" s="6">
        <f t="shared" ref="F9:Q9" si="3">SUMIFS(F$13:F$485,$D$13:$D$485,"&gt;=30000",$D$13:$D$485,"&lt;40000")</f>
        <v>-69258026</v>
      </c>
      <c r="G9" s="6">
        <f t="shared" si="3"/>
        <v>-142001965</v>
      </c>
      <c r="H9" s="6">
        <f t="shared" si="3"/>
        <v>-220047323</v>
      </c>
      <c r="I9" s="6">
        <f t="shared" si="3"/>
        <v>-298880851</v>
      </c>
      <c r="J9" s="7">
        <f t="shared" si="3"/>
        <v>-376114581</v>
      </c>
      <c r="K9" s="6">
        <f t="shared" si="3"/>
        <v>-448240835</v>
      </c>
      <c r="L9" s="6">
        <f t="shared" si="3"/>
        <v>-529673541</v>
      </c>
      <c r="M9" s="6">
        <f t="shared" si="3"/>
        <v>-609347963</v>
      </c>
      <c r="N9" s="6">
        <f t="shared" si="3"/>
        <v>-713907916</v>
      </c>
      <c r="O9" s="6">
        <f t="shared" si="3"/>
        <v>-814768906</v>
      </c>
      <c r="P9" s="6">
        <f t="shared" si="3"/>
        <v>-904458433</v>
      </c>
      <c r="Q9" s="6">
        <f t="shared" si="3"/>
        <v>-988385863</v>
      </c>
    </row>
    <row r="10" spans="1:17" ht="14.25" customHeight="1" x14ac:dyDescent="0.25">
      <c r="A10" s="5"/>
      <c r="B10" s="22" t="s">
        <v>9</v>
      </c>
      <c r="C10" s="13" t="s">
        <v>10</v>
      </c>
      <c r="D10" s="14">
        <f>SUMIFS(Q$13:Q$485,$D$13:$D$485,"&gt;=40000",$D$13:$D$485,"&lt;90000")</f>
        <v>890982485</v>
      </c>
      <c r="F10" s="6">
        <f t="shared" ref="F10:Q10" si="4">SUMIFS(F$13:F$485,$D$13:$D$485,"&gt;=40000",$D$13:$D$485,"&lt;90000")</f>
        <v>58502227</v>
      </c>
      <c r="G10" s="6">
        <f t="shared" si="4"/>
        <v>120233964</v>
      </c>
      <c r="H10" s="6">
        <f t="shared" si="4"/>
        <v>184993569</v>
      </c>
      <c r="I10" s="6">
        <f t="shared" si="4"/>
        <v>251152017</v>
      </c>
      <c r="J10" s="7">
        <f t="shared" si="4"/>
        <v>316553076</v>
      </c>
      <c r="K10" s="6">
        <f t="shared" si="4"/>
        <v>378030420</v>
      </c>
      <c r="L10" s="6">
        <f t="shared" si="4"/>
        <v>448557888</v>
      </c>
      <c r="M10" s="6">
        <f t="shared" si="4"/>
        <v>516287496</v>
      </c>
      <c r="N10" s="6">
        <f t="shared" si="4"/>
        <v>609455342</v>
      </c>
      <c r="O10" s="6">
        <f t="shared" si="4"/>
        <v>706939037</v>
      </c>
      <c r="P10" s="6">
        <f t="shared" si="4"/>
        <v>786802570</v>
      </c>
      <c r="Q10" s="6">
        <f t="shared" si="4"/>
        <v>890982485</v>
      </c>
    </row>
    <row r="11" spans="1:17" ht="14.25" customHeight="1" x14ac:dyDescent="0.25">
      <c r="C11" s="2" t="s">
        <v>11</v>
      </c>
      <c r="D11" s="15">
        <f>SUM(D7:D10)</f>
        <v>-97403376</v>
      </c>
      <c r="F11" s="8">
        <f t="shared" ref="F11:Q11" si="5">SUM(F7:F10)</f>
        <v>-1</v>
      </c>
      <c r="G11" s="8">
        <f t="shared" si="5"/>
        <v>-4</v>
      </c>
      <c r="H11" s="8">
        <f t="shared" si="5"/>
        <v>6</v>
      </c>
      <c r="I11" s="8">
        <f t="shared" si="5"/>
        <v>5</v>
      </c>
      <c r="J11" s="8">
        <f t="shared" si="5"/>
        <v>8</v>
      </c>
      <c r="K11" s="8">
        <f t="shared" si="5"/>
        <v>4</v>
      </c>
      <c r="L11" s="8">
        <f t="shared" si="5"/>
        <v>-1</v>
      </c>
      <c r="M11" s="8">
        <f t="shared" si="5"/>
        <v>5</v>
      </c>
      <c r="N11" s="8">
        <f t="shared" si="5"/>
        <v>2</v>
      </c>
      <c r="O11" s="8">
        <f t="shared" si="5"/>
        <v>-2</v>
      </c>
      <c r="P11" s="8">
        <f t="shared" si="5"/>
        <v>-1</v>
      </c>
      <c r="Q11" s="8">
        <f t="shared" si="5"/>
        <v>-97403376</v>
      </c>
    </row>
    <row r="12" spans="1:17" ht="14.25" customHeight="1" x14ac:dyDescent="0.25">
      <c r="D12" s="19"/>
      <c r="E12" s="9" t="s">
        <v>12</v>
      </c>
      <c r="F12" s="18" t="s">
        <v>13</v>
      </c>
      <c r="G12" s="18" t="s">
        <v>14</v>
      </c>
      <c r="H12" s="18" t="s">
        <v>15</v>
      </c>
      <c r="I12" s="18" t="s">
        <v>16</v>
      </c>
      <c r="J12" s="18" t="s">
        <v>17</v>
      </c>
      <c r="K12" s="18" t="s">
        <v>18</v>
      </c>
      <c r="L12" s="18" t="s">
        <v>19</v>
      </c>
      <c r="M12" s="18" t="s">
        <v>20</v>
      </c>
      <c r="N12" s="18" t="s">
        <v>21</v>
      </c>
      <c r="O12" s="18" t="s">
        <v>22</v>
      </c>
      <c r="P12" s="18" t="s">
        <v>23</v>
      </c>
      <c r="Q12" s="18" t="s">
        <v>24</v>
      </c>
    </row>
    <row r="13" spans="1:17" ht="14.25" customHeight="1" x14ac:dyDescent="0.25">
      <c r="D13" s="5">
        <v>11100</v>
      </c>
      <c r="E13" s="9" t="s">
        <v>25</v>
      </c>
      <c r="F13" s="7">
        <v>9050</v>
      </c>
      <c r="G13" s="7">
        <v>7748</v>
      </c>
      <c r="H13" s="7">
        <v>8682</v>
      </c>
      <c r="I13" s="7">
        <v>8581</v>
      </c>
      <c r="J13" s="7">
        <v>8611</v>
      </c>
      <c r="K13" s="7">
        <v>7586</v>
      </c>
      <c r="L13" s="7">
        <v>7590</v>
      </c>
      <c r="M13" s="7">
        <v>8863</v>
      </c>
      <c r="N13" s="7">
        <v>8486</v>
      </c>
      <c r="O13" s="7">
        <v>8945</v>
      </c>
      <c r="P13" s="7">
        <v>8423</v>
      </c>
      <c r="Q13" s="7">
        <v>7119</v>
      </c>
    </row>
    <row r="14" spans="1:17" ht="14.25" customHeight="1" x14ac:dyDescent="0.25">
      <c r="D14" s="5">
        <v>11101</v>
      </c>
      <c r="E14" s="9" t="s">
        <v>25</v>
      </c>
      <c r="F14" s="7">
        <v>1976</v>
      </c>
      <c r="G14" s="7">
        <v>1971</v>
      </c>
      <c r="H14" s="7">
        <v>1987</v>
      </c>
      <c r="I14" s="7">
        <v>1994</v>
      </c>
      <c r="J14" s="7">
        <v>1978</v>
      </c>
      <c r="K14" s="7">
        <v>1962</v>
      </c>
      <c r="L14" s="7">
        <v>2474</v>
      </c>
      <c r="M14" s="7">
        <v>2460</v>
      </c>
      <c r="N14" s="7">
        <v>2467</v>
      </c>
      <c r="O14" s="7">
        <v>2471</v>
      </c>
      <c r="P14" s="7">
        <v>2465</v>
      </c>
      <c r="Q14" s="7">
        <v>2465</v>
      </c>
    </row>
    <row r="15" spans="1:17" ht="14.25" customHeight="1" x14ac:dyDescent="0.25">
      <c r="D15" s="5">
        <v>11200</v>
      </c>
      <c r="E15" s="9" t="s">
        <v>26</v>
      </c>
      <c r="F15" s="7">
        <v>-7874845</v>
      </c>
      <c r="G15" s="7">
        <v>-4643288</v>
      </c>
      <c r="H15" s="7">
        <v>-5757055</v>
      </c>
      <c r="I15" s="7">
        <v>-2137176</v>
      </c>
      <c r="J15" s="7">
        <v>-5961218</v>
      </c>
      <c r="K15" s="7">
        <v>-2857075</v>
      </c>
      <c r="L15" s="7">
        <v>-3261429</v>
      </c>
      <c r="M15" s="7">
        <v>-7817733</v>
      </c>
      <c r="N15" s="7">
        <v>-2409534</v>
      </c>
      <c r="O15" s="7">
        <v>-10187497</v>
      </c>
      <c r="P15" s="7">
        <v>-2498708</v>
      </c>
      <c r="Q15" s="7">
        <v>-17908447</v>
      </c>
    </row>
    <row r="16" spans="1:17" ht="14.25" customHeight="1" x14ac:dyDescent="0.25">
      <c r="D16" s="5">
        <v>11210</v>
      </c>
      <c r="E16" s="9" t="s">
        <v>27</v>
      </c>
      <c r="F16" s="7">
        <v>16165326</v>
      </c>
      <c r="G16" s="7">
        <v>21188262</v>
      </c>
      <c r="H16" s="7">
        <v>18398417</v>
      </c>
      <c r="I16" s="7">
        <v>24114785</v>
      </c>
      <c r="J16" s="7">
        <v>15920490</v>
      </c>
      <c r="K16" s="7">
        <v>14969341</v>
      </c>
      <c r="L16" s="7">
        <v>18423829</v>
      </c>
      <c r="M16" s="7">
        <v>21098213</v>
      </c>
      <c r="N16" s="7">
        <v>23669855</v>
      </c>
      <c r="O16" s="7">
        <v>13557542</v>
      </c>
      <c r="P16" s="7">
        <v>16629717</v>
      </c>
      <c r="Q16" s="7">
        <v>11258045</v>
      </c>
    </row>
    <row r="17" spans="4:17" ht="14.25" customHeight="1" x14ac:dyDescent="0.25">
      <c r="D17" s="5">
        <v>11211</v>
      </c>
      <c r="E17" s="9" t="s">
        <v>27</v>
      </c>
      <c r="F17" s="7">
        <v>40371</v>
      </c>
      <c r="G17" s="7">
        <v>93502</v>
      </c>
      <c r="H17" s="7">
        <v>35082</v>
      </c>
      <c r="I17" s="7">
        <v>62029</v>
      </c>
      <c r="J17" s="7">
        <v>99813</v>
      </c>
      <c r="K17" s="7">
        <v>67252</v>
      </c>
      <c r="L17" s="7">
        <v>132494</v>
      </c>
      <c r="M17" s="7">
        <v>137579</v>
      </c>
      <c r="N17" s="7">
        <v>67784</v>
      </c>
      <c r="O17" s="7">
        <v>96060</v>
      </c>
      <c r="P17" s="7">
        <v>50239</v>
      </c>
      <c r="Q17" s="7">
        <v>44561</v>
      </c>
    </row>
    <row r="18" spans="4:17" ht="14.25" customHeight="1" x14ac:dyDescent="0.25">
      <c r="D18" s="5">
        <v>11212</v>
      </c>
      <c r="E18" s="9" t="s">
        <v>28</v>
      </c>
      <c r="F18" s="9">
        <v>24</v>
      </c>
      <c r="G18" s="9">
        <v>23</v>
      </c>
      <c r="H18" s="9">
        <v>24</v>
      </c>
      <c r="I18" s="9">
        <v>25</v>
      </c>
      <c r="J18" s="9">
        <v>24</v>
      </c>
      <c r="K18" s="9">
        <v>23</v>
      </c>
      <c r="L18" s="9">
        <v>24</v>
      </c>
      <c r="M18" s="9">
        <v>23</v>
      </c>
      <c r="N18" s="9">
        <v>23</v>
      </c>
      <c r="O18" s="9">
        <v>23</v>
      </c>
      <c r="P18" s="9">
        <v>23</v>
      </c>
    </row>
    <row r="19" spans="4:17" ht="14.25" customHeight="1" x14ac:dyDescent="0.25">
      <c r="D19" s="5">
        <v>11310</v>
      </c>
      <c r="E19" s="9" t="s">
        <v>29</v>
      </c>
      <c r="L19" s="7">
        <v>-15701</v>
      </c>
      <c r="M19" s="7">
        <v>-15701</v>
      </c>
      <c r="N19" s="7">
        <v>-15701</v>
      </c>
      <c r="O19" s="7">
        <v>-15701</v>
      </c>
      <c r="P19" s="7">
        <v>-305221</v>
      </c>
    </row>
    <row r="20" spans="4:17" ht="14.25" customHeight="1" x14ac:dyDescent="0.25">
      <c r="D20" s="5">
        <v>11311</v>
      </c>
      <c r="E20" s="9" t="s">
        <v>30</v>
      </c>
      <c r="F20" s="7">
        <v>421798</v>
      </c>
      <c r="G20" s="7">
        <v>382824</v>
      </c>
      <c r="H20" s="7">
        <v>-32837</v>
      </c>
      <c r="I20" s="7">
        <v>-27007</v>
      </c>
      <c r="J20" s="7">
        <v>-9508</v>
      </c>
      <c r="K20" s="7">
        <v>6629</v>
      </c>
      <c r="L20" s="7">
        <v>-5722</v>
      </c>
      <c r="M20" s="7">
        <v>-10925</v>
      </c>
      <c r="N20" s="7">
        <v>-6371</v>
      </c>
      <c r="O20" s="7">
        <v>675131</v>
      </c>
      <c r="P20" s="7">
        <v>151836</v>
      </c>
      <c r="Q20" s="7">
        <v>-85287</v>
      </c>
    </row>
    <row r="21" spans="4:17" ht="14.25" customHeight="1" x14ac:dyDescent="0.25">
      <c r="D21" s="5">
        <v>11600</v>
      </c>
      <c r="E21" s="9" t="s">
        <v>31</v>
      </c>
      <c r="F21" s="7">
        <v>12258987</v>
      </c>
      <c r="G21" s="7">
        <v>17258987</v>
      </c>
      <c r="H21" s="7">
        <v>25258987</v>
      </c>
      <c r="I21" s="7">
        <v>258987</v>
      </c>
      <c r="J21" s="7">
        <v>5258987</v>
      </c>
      <c r="K21" s="7">
        <v>258987</v>
      </c>
      <c r="L21" s="7">
        <v>258987</v>
      </c>
      <c r="M21" s="7">
        <v>258987</v>
      </c>
      <c r="N21" s="7">
        <v>258987</v>
      </c>
      <c r="O21" s="7">
        <v>258987</v>
      </c>
      <c r="P21" s="7">
        <v>258987</v>
      </c>
      <c r="Q21" s="7">
        <v>10283165</v>
      </c>
    </row>
    <row r="22" spans="4:17" ht="14.25" customHeight="1" x14ac:dyDescent="0.25">
      <c r="D22" s="5">
        <v>12100</v>
      </c>
      <c r="E22" s="9" t="s">
        <v>32</v>
      </c>
      <c r="F22" s="7">
        <v>115564532</v>
      </c>
      <c r="G22" s="7">
        <v>129192775</v>
      </c>
      <c r="H22" s="7">
        <v>136490109</v>
      </c>
      <c r="I22" s="7">
        <v>140704916</v>
      </c>
      <c r="J22" s="7">
        <v>129506544</v>
      </c>
      <c r="K22" s="7">
        <v>130653456</v>
      </c>
      <c r="L22" s="7">
        <v>128611831</v>
      </c>
      <c r="M22" s="7">
        <v>127793014</v>
      </c>
      <c r="N22" s="7">
        <v>156940283</v>
      </c>
      <c r="O22" s="7">
        <v>161082803</v>
      </c>
      <c r="P22" s="7">
        <v>153604205</v>
      </c>
      <c r="Q22" s="7">
        <v>138207286</v>
      </c>
    </row>
    <row r="23" spans="4:17" ht="14.25" customHeight="1" x14ac:dyDescent="0.25">
      <c r="D23" s="5">
        <v>12105</v>
      </c>
      <c r="E23" s="9" t="s">
        <v>33</v>
      </c>
      <c r="P23" s="7">
        <v>891385</v>
      </c>
    </row>
    <row r="24" spans="4:17" ht="14.25" customHeight="1" x14ac:dyDescent="0.25">
      <c r="D24" s="5">
        <v>12150</v>
      </c>
      <c r="E24" s="9" t="s">
        <v>34</v>
      </c>
      <c r="F24" s="7">
        <v>-1106909</v>
      </c>
      <c r="G24" s="7">
        <v>-1442468</v>
      </c>
      <c r="H24" s="7">
        <v>-1425566</v>
      </c>
      <c r="I24" s="7">
        <v>-1317579</v>
      </c>
      <c r="J24" s="7">
        <v>-1380823</v>
      </c>
      <c r="K24" s="7">
        <v>-1348928</v>
      </c>
      <c r="L24" s="7">
        <v>-928255</v>
      </c>
      <c r="M24" s="7">
        <v>-952138</v>
      </c>
      <c r="N24" s="7">
        <v>-915048</v>
      </c>
      <c r="O24" s="7">
        <v>-2974134</v>
      </c>
      <c r="P24" s="7">
        <v>-2946127</v>
      </c>
      <c r="Q24" s="7">
        <v>-796317</v>
      </c>
    </row>
    <row r="25" spans="4:17" ht="14.25" customHeight="1" x14ac:dyDescent="0.25">
      <c r="D25" s="5">
        <v>12200</v>
      </c>
      <c r="E25" s="9" t="s">
        <v>35</v>
      </c>
      <c r="F25" s="9">
        <v>-340</v>
      </c>
      <c r="G25" s="9">
        <v>-368</v>
      </c>
      <c r="H25" s="9">
        <v>-409</v>
      </c>
      <c r="I25" s="9">
        <v>-440</v>
      </c>
      <c r="J25" s="7">
        <v>-715741</v>
      </c>
      <c r="K25" s="9">
        <v>-580</v>
      </c>
      <c r="L25" s="9">
        <v>-611</v>
      </c>
      <c r="M25" s="9">
        <v>-611</v>
      </c>
      <c r="P25" s="7">
        <v>328827</v>
      </c>
    </row>
    <row r="26" spans="4:17" ht="14.25" customHeight="1" x14ac:dyDescent="0.25">
      <c r="D26" s="5">
        <v>12510</v>
      </c>
      <c r="E26" s="9" t="s">
        <v>36</v>
      </c>
      <c r="F26" s="7">
        <v>23684</v>
      </c>
      <c r="G26" s="7">
        <v>20729</v>
      </c>
      <c r="H26" s="7">
        <v>20481</v>
      </c>
      <c r="I26" s="7">
        <v>20924</v>
      </c>
      <c r="J26" s="7">
        <v>18277</v>
      </c>
      <c r="K26" s="7">
        <v>14960</v>
      </c>
      <c r="L26" s="7">
        <v>13835</v>
      </c>
      <c r="M26" s="7">
        <v>20035</v>
      </c>
      <c r="N26" s="7">
        <v>19915</v>
      </c>
      <c r="O26" s="7">
        <v>20943</v>
      </c>
      <c r="P26" s="7">
        <v>21215</v>
      </c>
      <c r="Q26" s="7">
        <v>18579</v>
      </c>
    </row>
    <row r="27" spans="4:17" ht="14.25" customHeight="1" x14ac:dyDescent="0.25">
      <c r="D27" s="5">
        <v>12610</v>
      </c>
      <c r="E27" s="9" t="s">
        <v>37</v>
      </c>
      <c r="F27" s="7">
        <v>147198</v>
      </c>
      <c r="G27" s="7">
        <v>111569</v>
      </c>
      <c r="H27" s="7">
        <v>417477</v>
      </c>
      <c r="I27" s="7">
        <v>463909</v>
      </c>
      <c r="J27" s="7">
        <v>479342</v>
      </c>
      <c r="K27" s="7">
        <v>544969</v>
      </c>
      <c r="L27" s="7">
        <v>638090</v>
      </c>
      <c r="M27" s="7">
        <v>743533</v>
      </c>
      <c r="N27" s="7">
        <v>1530694</v>
      </c>
      <c r="O27" s="7">
        <v>1283493</v>
      </c>
      <c r="P27" s="7">
        <v>2133662</v>
      </c>
      <c r="Q27" s="7">
        <v>1893119</v>
      </c>
    </row>
    <row r="28" spans="4:17" ht="14.25" customHeight="1" x14ac:dyDescent="0.25">
      <c r="D28" s="5">
        <v>12611</v>
      </c>
      <c r="E28" s="9" t="s">
        <v>38</v>
      </c>
      <c r="F28" s="7">
        <v>225582</v>
      </c>
      <c r="G28" s="7">
        <v>236670</v>
      </c>
      <c r="H28" s="7">
        <v>158732</v>
      </c>
      <c r="I28" s="7">
        <v>167238</v>
      </c>
      <c r="J28" s="7">
        <v>91875</v>
      </c>
      <c r="K28" s="7">
        <v>88299</v>
      </c>
      <c r="L28" s="7">
        <v>88299</v>
      </c>
      <c r="M28" s="7">
        <v>88299</v>
      </c>
      <c r="N28" s="7">
        <v>88299</v>
      </c>
      <c r="O28" s="7">
        <v>88299</v>
      </c>
      <c r="P28" s="7">
        <v>88299</v>
      </c>
      <c r="Q28" s="7">
        <v>247001</v>
      </c>
    </row>
    <row r="29" spans="4:17" ht="14.25" customHeight="1" x14ac:dyDescent="0.25">
      <c r="D29" s="5">
        <v>12613</v>
      </c>
      <c r="E29" s="9" t="s">
        <v>39</v>
      </c>
      <c r="F29" s="7">
        <v>4084</v>
      </c>
      <c r="G29" s="7">
        <v>4084</v>
      </c>
      <c r="H29" s="7">
        <v>4084</v>
      </c>
      <c r="I29" s="7">
        <v>4084</v>
      </c>
      <c r="J29" s="7">
        <v>4084</v>
      </c>
      <c r="K29" s="7">
        <v>4084</v>
      </c>
      <c r="L29" s="7">
        <v>4084</v>
      </c>
      <c r="M29" s="7">
        <v>4084</v>
      </c>
      <c r="N29" s="7">
        <v>4084</v>
      </c>
      <c r="O29" s="7">
        <v>4084</v>
      </c>
      <c r="P29" s="7">
        <v>4084</v>
      </c>
      <c r="Q29" s="7">
        <v>4084</v>
      </c>
    </row>
    <row r="30" spans="4:17" ht="14.25" customHeight="1" x14ac:dyDescent="0.25">
      <c r="D30" s="5">
        <v>12614</v>
      </c>
      <c r="E30" s="9" t="s">
        <v>40</v>
      </c>
      <c r="F30" s="7">
        <v>5753009</v>
      </c>
      <c r="G30" s="7">
        <v>5661587</v>
      </c>
      <c r="H30" s="7">
        <v>6530221</v>
      </c>
      <c r="I30" s="7">
        <v>6868873</v>
      </c>
      <c r="J30" s="7">
        <v>6874735</v>
      </c>
      <c r="K30" s="7">
        <v>6957317</v>
      </c>
      <c r="L30" s="7">
        <v>7130109</v>
      </c>
      <c r="M30" s="7">
        <v>7014535</v>
      </c>
      <c r="N30" s="7">
        <v>8160839</v>
      </c>
      <c r="O30" s="7">
        <v>8364972</v>
      </c>
      <c r="P30" s="7">
        <v>8185143</v>
      </c>
      <c r="Q30" s="7">
        <v>7162743</v>
      </c>
    </row>
    <row r="31" spans="4:17" ht="14.25" customHeight="1" x14ac:dyDescent="0.25">
      <c r="D31" s="5">
        <v>12615</v>
      </c>
      <c r="E31" s="9" t="s">
        <v>41</v>
      </c>
      <c r="F31" s="9">
        <v>-897</v>
      </c>
      <c r="G31" s="9">
        <v>-897</v>
      </c>
      <c r="H31" s="9">
        <v>-897</v>
      </c>
      <c r="I31" s="9">
        <v>-897</v>
      </c>
      <c r="J31" s="9">
        <v>-897</v>
      </c>
      <c r="K31" s="9">
        <v>-897</v>
      </c>
      <c r="L31" s="9">
        <v>-897</v>
      </c>
      <c r="M31" s="9">
        <v>-897</v>
      </c>
      <c r="N31" s="9">
        <v>-897</v>
      </c>
      <c r="O31" s="9">
        <v>-897</v>
      </c>
      <c r="P31" s="9">
        <v>-897</v>
      </c>
      <c r="Q31" s="9">
        <v>-897</v>
      </c>
    </row>
    <row r="32" spans="4:17" ht="14.25" customHeight="1" x14ac:dyDescent="0.25">
      <c r="D32" s="5">
        <v>12626</v>
      </c>
      <c r="E32" s="9" t="s">
        <v>42</v>
      </c>
      <c r="F32" s="7">
        <v>61976</v>
      </c>
      <c r="G32" s="7">
        <v>61976</v>
      </c>
      <c r="H32" s="7">
        <v>61976</v>
      </c>
      <c r="I32" s="7">
        <v>61976</v>
      </c>
      <c r="J32" s="7">
        <v>61976</v>
      </c>
      <c r="K32" s="7">
        <v>61976</v>
      </c>
      <c r="L32" s="7">
        <v>63519</v>
      </c>
      <c r="M32" s="7">
        <v>63855</v>
      </c>
      <c r="N32" s="7">
        <v>63855</v>
      </c>
      <c r="O32" s="7">
        <v>65639</v>
      </c>
      <c r="P32" s="7">
        <v>65639</v>
      </c>
      <c r="Q32" s="7">
        <v>58629</v>
      </c>
    </row>
    <row r="33" spans="4:17" ht="14.25" customHeight="1" x14ac:dyDescent="0.25">
      <c r="D33" s="5">
        <v>12653</v>
      </c>
      <c r="E33" s="9" t="s">
        <v>43</v>
      </c>
      <c r="F33" s="7">
        <v>57900</v>
      </c>
      <c r="G33" s="7">
        <v>57650</v>
      </c>
      <c r="H33" s="7">
        <v>57650</v>
      </c>
      <c r="I33" s="7">
        <v>57150</v>
      </c>
      <c r="J33" s="7">
        <v>57150</v>
      </c>
      <c r="K33" s="7">
        <v>57150</v>
      </c>
      <c r="L33" s="7">
        <v>56650</v>
      </c>
      <c r="M33" s="7">
        <v>56650</v>
      </c>
      <c r="N33" s="7">
        <v>56400</v>
      </c>
      <c r="O33" s="7">
        <v>56150</v>
      </c>
      <c r="P33" s="7">
        <v>55650</v>
      </c>
      <c r="Q33" s="7">
        <v>55650</v>
      </c>
    </row>
    <row r="34" spans="4:17" ht="14.25" customHeight="1" x14ac:dyDescent="0.25">
      <c r="D34" s="5">
        <v>12662</v>
      </c>
      <c r="E34" s="9" t="s">
        <v>44</v>
      </c>
      <c r="N34" s="7">
        <v>2000</v>
      </c>
      <c r="O34" s="7">
        <v>1922</v>
      </c>
      <c r="P34" s="7">
        <v>1726</v>
      </c>
      <c r="Q34" s="7">
        <v>1569</v>
      </c>
    </row>
    <row r="35" spans="4:17" ht="14.25" customHeight="1" x14ac:dyDescent="0.25">
      <c r="D35" s="5">
        <v>13000</v>
      </c>
      <c r="E35" s="9" t="s">
        <v>45</v>
      </c>
      <c r="F35" s="7">
        <v>21353</v>
      </c>
      <c r="G35" s="7">
        <v>37646</v>
      </c>
      <c r="H35" s="7">
        <v>-337538</v>
      </c>
      <c r="I35" s="7">
        <v>13953</v>
      </c>
      <c r="J35" s="7">
        <v>37451</v>
      </c>
      <c r="K35" s="7">
        <v>85211</v>
      </c>
      <c r="L35" s="7">
        <v>79037</v>
      </c>
      <c r="M35" s="7">
        <v>77715</v>
      </c>
      <c r="N35" s="7">
        <v>15727</v>
      </c>
      <c r="O35" s="7">
        <v>11904</v>
      </c>
      <c r="P35" s="7">
        <v>9320</v>
      </c>
    </row>
    <row r="36" spans="4:17" ht="14.25" customHeight="1" x14ac:dyDescent="0.25">
      <c r="D36" s="5">
        <v>14100</v>
      </c>
      <c r="E36" s="9" t="s">
        <v>46</v>
      </c>
      <c r="F36" s="7">
        <v>11007787</v>
      </c>
      <c r="G36" s="7">
        <v>11320060</v>
      </c>
      <c r="H36" s="7">
        <v>11655507</v>
      </c>
      <c r="I36" s="7">
        <v>10145780</v>
      </c>
      <c r="J36" s="7">
        <v>9868577</v>
      </c>
      <c r="K36" s="7">
        <v>10588194</v>
      </c>
      <c r="L36" s="7">
        <v>9971453</v>
      </c>
      <c r="M36" s="7">
        <v>9568518</v>
      </c>
      <c r="N36" s="7">
        <v>10450945</v>
      </c>
      <c r="O36" s="7">
        <v>11243134</v>
      </c>
      <c r="P36" s="7">
        <v>11185235</v>
      </c>
      <c r="Q36" s="7">
        <v>7882178</v>
      </c>
    </row>
    <row r="37" spans="4:17" ht="14.25" customHeight="1" x14ac:dyDescent="0.25">
      <c r="D37" s="5">
        <v>14110</v>
      </c>
      <c r="E37" s="9" t="s">
        <v>46</v>
      </c>
      <c r="F37" s="7">
        <v>11988</v>
      </c>
      <c r="G37" s="7">
        <v>11988</v>
      </c>
      <c r="H37" s="7">
        <v>14332</v>
      </c>
      <c r="I37" s="7">
        <v>16384</v>
      </c>
      <c r="J37" s="7">
        <v>13488</v>
      </c>
      <c r="K37" s="7">
        <v>14183</v>
      </c>
      <c r="L37" s="7">
        <v>16618</v>
      </c>
      <c r="M37" s="7">
        <v>19618</v>
      </c>
      <c r="N37" s="7">
        <v>25504</v>
      </c>
      <c r="O37" s="7">
        <v>30310</v>
      </c>
      <c r="P37" s="7">
        <v>14638</v>
      </c>
      <c r="Q37" s="7">
        <v>6666</v>
      </c>
    </row>
    <row r="38" spans="4:17" ht="14.25" customHeight="1" x14ac:dyDescent="0.25">
      <c r="D38" s="5">
        <v>14123</v>
      </c>
      <c r="E38" s="9" t="s">
        <v>46</v>
      </c>
      <c r="F38" s="7">
        <v>6726649</v>
      </c>
      <c r="G38" s="7">
        <v>7743844</v>
      </c>
      <c r="H38" s="7">
        <v>6951244</v>
      </c>
      <c r="I38" s="7">
        <v>5911457</v>
      </c>
      <c r="J38" s="7">
        <v>5116147</v>
      </c>
      <c r="K38" s="7">
        <v>4343932</v>
      </c>
      <c r="L38" s="7">
        <v>4549765</v>
      </c>
      <c r="M38" s="7">
        <v>4073809</v>
      </c>
      <c r="N38" s="7">
        <v>5151601</v>
      </c>
      <c r="O38" s="7">
        <v>5982607</v>
      </c>
      <c r="P38" s="7">
        <v>5594803</v>
      </c>
      <c r="Q38" s="7">
        <v>7275630</v>
      </c>
    </row>
    <row r="39" spans="4:17" ht="14.25" customHeight="1" x14ac:dyDescent="0.25">
      <c r="D39" s="5">
        <v>14128</v>
      </c>
      <c r="E39" s="9" t="s">
        <v>46</v>
      </c>
      <c r="F39" s="7">
        <v>53831</v>
      </c>
      <c r="G39" s="7">
        <v>48932</v>
      </c>
      <c r="H39" s="7">
        <v>44032</v>
      </c>
      <c r="I39" s="7">
        <v>39132</v>
      </c>
      <c r="J39" s="7">
        <v>34233</v>
      </c>
      <c r="K39" s="7">
        <v>34233</v>
      </c>
      <c r="L39" s="7">
        <v>28527</v>
      </c>
      <c r="M39" s="7">
        <v>28527</v>
      </c>
      <c r="N39" s="7">
        <v>28527</v>
      </c>
      <c r="O39" s="7">
        <v>28527</v>
      </c>
      <c r="P39" s="7">
        <v>14264</v>
      </c>
      <c r="Q39" s="7">
        <v>14264</v>
      </c>
    </row>
    <row r="40" spans="4:17" ht="14.25" customHeight="1" x14ac:dyDescent="0.25">
      <c r="D40" s="5">
        <v>14200</v>
      </c>
      <c r="E40" s="9" t="s">
        <v>47</v>
      </c>
      <c r="F40" s="7">
        <v>21489748</v>
      </c>
      <c r="G40" s="7">
        <v>20956331</v>
      </c>
      <c r="H40" s="7">
        <v>18675841</v>
      </c>
      <c r="I40" s="7">
        <v>17538974</v>
      </c>
      <c r="J40" s="7">
        <v>17173563</v>
      </c>
      <c r="K40" s="7">
        <v>17231789</v>
      </c>
      <c r="L40" s="7">
        <v>18745922</v>
      </c>
      <c r="M40" s="7">
        <v>18791439</v>
      </c>
      <c r="N40" s="7">
        <v>21040929</v>
      </c>
      <c r="O40" s="7">
        <v>21996357</v>
      </c>
      <c r="P40" s="7">
        <v>21565360</v>
      </c>
      <c r="Q40" s="7">
        <v>24576311</v>
      </c>
    </row>
    <row r="41" spans="4:17" ht="14.25" customHeight="1" x14ac:dyDescent="0.25">
      <c r="D41" s="5">
        <v>14212</v>
      </c>
      <c r="E41" s="9" t="s">
        <v>48</v>
      </c>
      <c r="F41" s="7">
        <v>-3199926</v>
      </c>
      <c r="G41" s="7">
        <v>-3215170</v>
      </c>
      <c r="H41" s="7">
        <v>-3224055</v>
      </c>
      <c r="I41" s="7">
        <v>-3225710</v>
      </c>
      <c r="J41" s="7">
        <v>-3209245</v>
      </c>
      <c r="K41" s="7">
        <v>-3227083</v>
      </c>
      <c r="L41" s="7">
        <v>-3329134</v>
      </c>
      <c r="M41" s="7">
        <v>-3277800</v>
      </c>
      <c r="N41" s="7">
        <v>-3259593</v>
      </c>
      <c r="O41" s="7">
        <v>-3228611</v>
      </c>
      <c r="P41" s="7">
        <v>-3261623</v>
      </c>
      <c r="Q41" s="7">
        <v>786985</v>
      </c>
    </row>
    <row r="42" spans="4:17" ht="14.25" customHeight="1" x14ac:dyDescent="0.25">
      <c r="D42" s="5">
        <v>14310</v>
      </c>
      <c r="E42" s="9" t="s">
        <v>49</v>
      </c>
      <c r="F42" s="7">
        <v>5730304</v>
      </c>
      <c r="G42" s="7">
        <v>6764879</v>
      </c>
      <c r="H42" s="7">
        <v>6695306</v>
      </c>
      <c r="I42" s="7">
        <v>8114897</v>
      </c>
      <c r="J42" s="7">
        <v>9163294</v>
      </c>
      <c r="K42" s="7">
        <v>8727049</v>
      </c>
      <c r="L42" s="7">
        <v>10337764</v>
      </c>
      <c r="M42" s="7">
        <v>11052884</v>
      </c>
      <c r="N42" s="7">
        <v>12223063</v>
      </c>
      <c r="O42" s="7">
        <v>12305953</v>
      </c>
      <c r="P42" s="7">
        <v>11658502</v>
      </c>
      <c r="Q42" s="7">
        <v>3309431</v>
      </c>
    </row>
    <row r="43" spans="4:17" ht="14.25" customHeight="1" x14ac:dyDescent="0.25">
      <c r="D43" s="5">
        <v>14311</v>
      </c>
      <c r="E43" s="9" t="s">
        <v>49</v>
      </c>
      <c r="F43" s="7">
        <v>142104179</v>
      </c>
      <c r="G43" s="7">
        <v>140666155</v>
      </c>
      <c r="H43" s="7">
        <v>142414050</v>
      </c>
      <c r="I43" s="7">
        <v>144088672</v>
      </c>
      <c r="J43" s="7">
        <v>147213741</v>
      </c>
      <c r="K43" s="7">
        <v>154941318</v>
      </c>
      <c r="L43" s="7">
        <v>158284025</v>
      </c>
      <c r="M43" s="7">
        <v>163633478</v>
      </c>
      <c r="N43" s="7">
        <v>174104145</v>
      </c>
      <c r="O43" s="7">
        <v>174142839</v>
      </c>
      <c r="P43" s="7">
        <v>176943178</v>
      </c>
      <c r="Q43" s="7">
        <v>174017144</v>
      </c>
    </row>
    <row r="44" spans="4:17" ht="14.25" customHeight="1" x14ac:dyDescent="0.25">
      <c r="D44" s="5">
        <v>14312</v>
      </c>
      <c r="E44" s="9" t="s">
        <v>50</v>
      </c>
      <c r="F44" s="7">
        <v>-1006907</v>
      </c>
      <c r="G44" s="7">
        <v>-996102</v>
      </c>
      <c r="H44" s="7">
        <v>-1000782</v>
      </c>
      <c r="I44" s="7">
        <v>-1003894</v>
      </c>
      <c r="J44" s="7">
        <v>-994176</v>
      </c>
      <c r="K44" s="7">
        <v>-988142</v>
      </c>
      <c r="L44" s="7">
        <v>-996030</v>
      </c>
      <c r="M44" s="7">
        <v>-986744</v>
      </c>
      <c r="N44" s="7">
        <v>-996102</v>
      </c>
      <c r="O44" s="7">
        <v>-991011</v>
      </c>
      <c r="P44" s="7">
        <v>-985186</v>
      </c>
      <c r="Q44" s="7">
        <v>-963404</v>
      </c>
    </row>
    <row r="45" spans="4:17" ht="14.25" customHeight="1" x14ac:dyDescent="0.25">
      <c r="D45" s="5">
        <v>14313</v>
      </c>
      <c r="E45" s="9" t="s">
        <v>49</v>
      </c>
      <c r="Q45" s="7">
        <v>91525</v>
      </c>
    </row>
    <row r="46" spans="4:17" ht="14.25" customHeight="1" x14ac:dyDescent="0.25">
      <c r="D46" s="5">
        <v>14314</v>
      </c>
      <c r="E46" s="9" t="s">
        <v>49</v>
      </c>
      <c r="F46" s="7">
        <v>-94529978</v>
      </c>
      <c r="G46" s="7">
        <v>-94609491</v>
      </c>
      <c r="H46" s="7">
        <v>-94610152</v>
      </c>
      <c r="I46" s="7">
        <v>-94699448</v>
      </c>
      <c r="J46" s="7">
        <v>-94423398</v>
      </c>
      <c r="K46" s="7">
        <v>-94422936</v>
      </c>
      <c r="L46" s="7">
        <v>-94439650</v>
      </c>
      <c r="M46" s="7">
        <v>-94448814</v>
      </c>
      <c r="N46" s="7">
        <v>-94472172</v>
      </c>
      <c r="O46" s="7">
        <v>-94433083</v>
      </c>
      <c r="P46" s="7">
        <v>-94429339</v>
      </c>
      <c r="Q46" s="7">
        <v>-94284618</v>
      </c>
    </row>
    <row r="47" spans="4:17" ht="14.25" customHeight="1" x14ac:dyDescent="0.25">
      <c r="D47" s="5">
        <v>14315</v>
      </c>
      <c r="E47" s="9" t="s">
        <v>49</v>
      </c>
      <c r="F47" s="7">
        <v>773631</v>
      </c>
      <c r="G47" s="7">
        <v>-969585</v>
      </c>
      <c r="H47" s="7">
        <v>-1908797</v>
      </c>
      <c r="I47" s="7">
        <v>-3166899</v>
      </c>
      <c r="J47" s="7">
        <v>-5425975</v>
      </c>
      <c r="K47" s="7">
        <v>-6300414</v>
      </c>
      <c r="L47" s="7">
        <v>-8007661</v>
      </c>
      <c r="M47" s="7">
        <v>-8318997</v>
      </c>
      <c r="N47" s="7">
        <v>-8749222</v>
      </c>
      <c r="O47" s="7">
        <v>-9127567</v>
      </c>
      <c r="P47" s="7">
        <v>-9018723</v>
      </c>
      <c r="Q47" s="7">
        <v>1436237</v>
      </c>
    </row>
    <row r="48" spans="4:17" ht="14.25" customHeight="1" x14ac:dyDescent="0.25">
      <c r="D48" s="5">
        <v>14340</v>
      </c>
      <c r="E48" s="9" t="s">
        <v>51</v>
      </c>
      <c r="F48" s="7">
        <v>-55224</v>
      </c>
      <c r="G48" s="7">
        <v>-55224</v>
      </c>
      <c r="H48" s="7">
        <v>-55224</v>
      </c>
      <c r="I48" s="7">
        <v>-55224</v>
      </c>
      <c r="J48" s="7">
        <v>-57184</v>
      </c>
      <c r="K48" s="7">
        <v>7350</v>
      </c>
      <c r="L48" s="7">
        <v>15680</v>
      </c>
      <c r="M48" s="7">
        <v>-46599</v>
      </c>
      <c r="N48" s="7">
        <v>5733</v>
      </c>
      <c r="O48" s="7">
        <v>7546</v>
      </c>
      <c r="P48" s="7">
        <v>10420</v>
      </c>
      <c r="Q48" s="7">
        <v>30878</v>
      </c>
    </row>
    <row r="49" spans="4:17" ht="14.25" customHeight="1" x14ac:dyDescent="0.25">
      <c r="D49" s="5">
        <v>14342</v>
      </c>
      <c r="E49" s="9" t="s">
        <v>52</v>
      </c>
      <c r="F49" s="7">
        <v>24873</v>
      </c>
      <c r="G49" s="7">
        <v>24873</v>
      </c>
      <c r="H49" s="7">
        <v>24873</v>
      </c>
      <c r="I49" s="7">
        <v>24873</v>
      </c>
      <c r="J49" s="7">
        <v>24873</v>
      </c>
    </row>
    <row r="50" spans="4:17" ht="14.25" customHeight="1" x14ac:dyDescent="0.25">
      <c r="D50" s="5">
        <v>14360</v>
      </c>
      <c r="E50" s="9" t="s">
        <v>49</v>
      </c>
      <c r="F50" s="7">
        <v>79282</v>
      </c>
      <c r="G50" s="7">
        <v>70783</v>
      </c>
      <c r="H50" s="7">
        <v>213347</v>
      </c>
      <c r="I50" s="7">
        <v>244827</v>
      </c>
      <c r="J50" s="7">
        <v>256856</v>
      </c>
      <c r="K50" s="7">
        <v>215041</v>
      </c>
      <c r="L50" s="7">
        <v>-33269</v>
      </c>
      <c r="M50" s="7">
        <v>238743</v>
      </c>
      <c r="N50" s="7">
        <v>229601</v>
      </c>
      <c r="O50" s="7">
        <v>-96257</v>
      </c>
      <c r="P50" s="7">
        <v>732534</v>
      </c>
      <c r="Q50" s="7">
        <v>34217</v>
      </c>
    </row>
    <row r="51" spans="4:17" ht="14.25" customHeight="1" x14ac:dyDescent="0.25">
      <c r="D51" s="5">
        <v>14390</v>
      </c>
      <c r="E51" s="9" t="s">
        <v>49</v>
      </c>
      <c r="F51" s="7">
        <v>227950</v>
      </c>
      <c r="G51" s="7">
        <v>-262008</v>
      </c>
      <c r="H51" s="7">
        <v>277075</v>
      </c>
      <c r="I51" s="7">
        <v>66359</v>
      </c>
      <c r="J51" s="7">
        <v>74739</v>
      </c>
      <c r="K51" s="7">
        <v>-165921</v>
      </c>
      <c r="L51" s="7">
        <v>-959203</v>
      </c>
      <c r="M51" s="7">
        <v>-840110</v>
      </c>
      <c r="N51" s="7">
        <v>-1463750</v>
      </c>
      <c r="O51" s="7">
        <v>-1237267</v>
      </c>
      <c r="P51" s="7">
        <v>-1370181</v>
      </c>
      <c r="Q51" s="7">
        <v>-7451916</v>
      </c>
    </row>
    <row r="52" spans="4:17" ht="14.25" customHeight="1" x14ac:dyDescent="0.25">
      <c r="D52" s="5">
        <v>14410</v>
      </c>
      <c r="E52" s="9" t="s">
        <v>53</v>
      </c>
      <c r="F52" s="7">
        <v>1561059</v>
      </c>
      <c r="G52" s="7">
        <v>1435813</v>
      </c>
      <c r="H52" s="7">
        <v>1361572</v>
      </c>
      <c r="I52" s="7">
        <v>1402915</v>
      </c>
      <c r="J52" s="7">
        <v>1449149</v>
      </c>
      <c r="K52" s="7">
        <v>1477780</v>
      </c>
      <c r="L52" s="7">
        <v>1353453</v>
      </c>
      <c r="M52" s="7">
        <v>1409521</v>
      </c>
      <c r="N52" s="7">
        <v>1491598</v>
      </c>
      <c r="O52" s="7">
        <v>1576765</v>
      </c>
      <c r="P52" s="7">
        <v>1630167</v>
      </c>
      <c r="Q52" s="7">
        <v>1443372</v>
      </c>
    </row>
    <row r="53" spans="4:17" ht="14.25" customHeight="1" x14ac:dyDescent="0.25">
      <c r="D53" s="5">
        <v>14415</v>
      </c>
      <c r="E53" s="9" t="s">
        <v>53</v>
      </c>
      <c r="F53" s="7">
        <v>94070</v>
      </c>
      <c r="G53" s="7">
        <v>100105</v>
      </c>
      <c r="H53" s="7">
        <v>91909</v>
      </c>
      <c r="I53" s="7">
        <v>110053</v>
      </c>
      <c r="J53" s="7">
        <v>105703</v>
      </c>
      <c r="K53" s="7">
        <v>112811</v>
      </c>
      <c r="L53" s="7">
        <v>116632</v>
      </c>
      <c r="M53" s="7">
        <v>113669</v>
      </c>
      <c r="N53" s="7">
        <v>163053</v>
      </c>
      <c r="O53" s="7">
        <v>143682</v>
      </c>
      <c r="P53" s="7">
        <v>156350</v>
      </c>
      <c r="Q53" s="7">
        <v>144197</v>
      </c>
    </row>
    <row r="54" spans="4:17" ht="14.25" customHeight="1" x14ac:dyDescent="0.25">
      <c r="D54" s="5">
        <v>15010</v>
      </c>
      <c r="E54" s="9" t="s">
        <v>54</v>
      </c>
      <c r="F54" s="7">
        <v>170000</v>
      </c>
      <c r="G54" s="7">
        <v>170000</v>
      </c>
      <c r="H54" s="7">
        <v>170000</v>
      </c>
      <c r="I54" s="7">
        <v>170000</v>
      </c>
      <c r="J54" s="7">
        <v>170000</v>
      </c>
      <c r="K54" s="7">
        <v>170000</v>
      </c>
      <c r="L54" s="7">
        <v>170000</v>
      </c>
      <c r="M54" s="7">
        <v>170000</v>
      </c>
      <c r="N54" s="7">
        <v>170000</v>
      </c>
      <c r="O54" s="7">
        <v>170000</v>
      </c>
      <c r="P54" s="7">
        <v>170000</v>
      </c>
      <c r="Q54" s="7">
        <v>170000</v>
      </c>
    </row>
    <row r="55" spans="4:17" ht="14.25" customHeight="1" x14ac:dyDescent="0.25">
      <c r="D55" s="5">
        <v>15020</v>
      </c>
      <c r="E55" s="9" t="s">
        <v>55</v>
      </c>
      <c r="F55" s="7">
        <v>2701945</v>
      </c>
      <c r="G55" s="7">
        <v>2701945</v>
      </c>
      <c r="H55" s="7">
        <v>2701945</v>
      </c>
      <c r="I55" s="7">
        <v>2701945</v>
      </c>
      <c r="J55" s="7">
        <v>2702444</v>
      </c>
      <c r="K55" s="7">
        <v>3040564</v>
      </c>
      <c r="L55" s="7">
        <v>3044664</v>
      </c>
      <c r="M55" s="7">
        <v>3048259</v>
      </c>
      <c r="N55" s="7">
        <v>3053846</v>
      </c>
      <c r="O55" s="7">
        <v>3061417</v>
      </c>
      <c r="P55" s="7">
        <v>3061417</v>
      </c>
      <c r="Q55" s="7">
        <v>3208597</v>
      </c>
    </row>
    <row r="56" spans="4:17" ht="14.25" customHeight="1" x14ac:dyDescent="0.25">
      <c r="D56" s="5">
        <v>15100</v>
      </c>
      <c r="E56" s="9" t="s">
        <v>56</v>
      </c>
      <c r="F56" s="7">
        <v>569249</v>
      </c>
      <c r="G56" s="7">
        <v>888410</v>
      </c>
      <c r="H56" s="7">
        <v>899586</v>
      </c>
      <c r="I56" s="7">
        <v>588135</v>
      </c>
      <c r="J56" s="7">
        <v>571952</v>
      </c>
      <c r="K56" s="7">
        <v>558900</v>
      </c>
      <c r="L56" s="7">
        <v>561911</v>
      </c>
      <c r="M56" s="7">
        <v>583303</v>
      </c>
      <c r="N56" s="7">
        <v>575120</v>
      </c>
      <c r="O56" s="7">
        <v>562724</v>
      </c>
      <c r="P56" s="7">
        <v>572073</v>
      </c>
      <c r="Q56" s="7">
        <v>546774</v>
      </c>
    </row>
    <row r="57" spans="4:17" ht="14.25" customHeight="1" x14ac:dyDescent="0.25">
      <c r="D57" s="5">
        <v>15110</v>
      </c>
      <c r="E57" s="9" t="s">
        <v>57</v>
      </c>
      <c r="F57" s="7">
        <v>44615</v>
      </c>
      <c r="G57" s="7">
        <v>35692</v>
      </c>
      <c r="H57" s="7">
        <v>26769</v>
      </c>
      <c r="I57" s="7">
        <v>17846</v>
      </c>
      <c r="J57" s="7">
        <v>8923</v>
      </c>
      <c r="L57" s="7">
        <v>108432</v>
      </c>
      <c r="M57" s="7">
        <v>80311</v>
      </c>
      <c r="N57" s="7">
        <v>80477</v>
      </c>
      <c r="O57" s="7">
        <v>78236</v>
      </c>
      <c r="P57" s="7">
        <v>68456</v>
      </c>
      <c r="Q57" s="7">
        <v>58676</v>
      </c>
    </row>
    <row r="58" spans="4:17" ht="14.25" customHeight="1" x14ac:dyDescent="0.25">
      <c r="D58" s="5">
        <v>15112</v>
      </c>
      <c r="E58" s="9" t="s">
        <v>58</v>
      </c>
      <c r="F58" s="7">
        <v>96423</v>
      </c>
      <c r="G58" s="7">
        <v>1175</v>
      </c>
      <c r="H58" s="7">
        <v>70906</v>
      </c>
      <c r="I58" s="7">
        <v>-24953</v>
      </c>
      <c r="J58" s="7">
        <v>-142440</v>
      </c>
      <c r="K58" s="7">
        <v>-249330</v>
      </c>
      <c r="L58" s="7">
        <v>4878</v>
      </c>
      <c r="M58" s="7">
        <v>-113280</v>
      </c>
      <c r="N58" s="7">
        <v>201296</v>
      </c>
      <c r="O58" s="7">
        <v>-17051</v>
      </c>
      <c r="P58" s="7">
        <v>-274867</v>
      </c>
      <c r="Q58" s="7">
        <v>235598</v>
      </c>
    </row>
    <row r="59" spans="4:17" ht="14.25" customHeight="1" x14ac:dyDescent="0.25">
      <c r="D59" s="5">
        <v>15120</v>
      </c>
      <c r="E59" s="9" t="s">
        <v>59</v>
      </c>
      <c r="F59" s="7">
        <v>286123</v>
      </c>
      <c r="G59" s="7">
        <v>229302</v>
      </c>
      <c r="H59" s="7">
        <v>172481</v>
      </c>
      <c r="I59" s="7">
        <v>115659</v>
      </c>
      <c r="J59" s="7">
        <v>58838</v>
      </c>
      <c r="K59" s="7">
        <v>13960</v>
      </c>
      <c r="L59" s="7">
        <v>729433</v>
      </c>
      <c r="M59" s="7">
        <v>672612</v>
      </c>
      <c r="N59" s="7">
        <v>581436</v>
      </c>
      <c r="O59" s="7">
        <v>672771</v>
      </c>
      <c r="P59" s="7">
        <v>588675</v>
      </c>
      <c r="Q59" s="7">
        <v>632202</v>
      </c>
    </row>
    <row r="60" spans="4:17" ht="14.25" customHeight="1" x14ac:dyDescent="0.25">
      <c r="D60" s="5">
        <v>15122</v>
      </c>
      <c r="E60" s="9" t="s">
        <v>60</v>
      </c>
      <c r="F60" s="7">
        <v>2408</v>
      </c>
      <c r="G60" s="9">
        <v>688</v>
      </c>
      <c r="H60" s="7">
        <v>3096</v>
      </c>
      <c r="I60" s="7">
        <v>1376</v>
      </c>
      <c r="J60" s="9">
        <v>-344</v>
      </c>
      <c r="K60" s="7">
        <v>-2064</v>
      </c>
      <c r="L60" s="7">
        <v>5868</v>
      </c>
      <c r="M60" s="7">
        <v>3148</v>
      </c>
      <c r="N60" s="7">
        <v>6179</v>
      </c>
      <c r="O60" s="7">
        <v>4119</v>
      </c>
      <c r="P60" s="7">
        <v>2060</v>
      </c>
      <c r="Q60" s="7">
        <v>10736</v>
      </c>
    </row>
    <row r="61" spans="4:17" ht="14.25" customHeight="1" x14ac:dyDescent="0.25">
      <c r="D61" s="5">
        <v>15123</v>
      </c>
      <c r="E61" s="9" t="s">
        <v>61</v>
      </c>
      <c r="F61" s="7">
        <v>264634</v>
      </c>
      <c r="G61" s="7">
        <v>177173</v>
      </c>
      <c r="H61" s="7">
        <v>244996</v>
      </c>
      <c r="I61" s="7">
        <v>157535</v>
      </c>
      <c r="J61" s="7">
        <v>70074</v>
      </c>
      <c r="K61" s="7">
        <v>-17388</v>
      </c>
      <c r="L61" s="7">
        <v>595472</v>
      </c>
      <c r="M61" s="7">
        <v>508011</v>
      </c>
      <c r="N61" s="7">
        <v>537766</v>
      </c>
      <c r="O61" s="7">
        <v>535689</v>
      </c>
      <c r="P61" s="7">
        <v>431549</v>
      </c>
      <c r="Q61" s="7">
        <v>481708</v>
      </c>
    </row>
    <row r="62" spans="4:17" ht="14.25" customHeight="1" x14ac:dyDescent="0.25">
      <c r="D62" s="5">
        <v>15124</v>
      </c>
      <c r="E62" s="9" t="s">
        <v>62</v>
      </c>
      <c r="F62" s="7">
        <v>47557</v>
      </c>
      <c r="G62" s="7">
        <v>38045</v>
      </c>
      <c r="H62" s="7">
        <v>29425</v>
      </c>
      <c r="I62" s="7">
        <v>19914</v>
      </c>
      <c r="J62" s="7">
        <v>10402</v>
      </c>
      <c r="K62" s="7">
        <v>15001</v>
      </c>
      <c r="L62" s="7">
        <v>141795</v>
      </c>
      <c r="M62" s="7">
        <v>132283</v>
      </c>
      <c r="N62" s="7">
        <v>117498</v>
      </c>
      <c r="O62" s="7">
        <v>114322</v>
      </c>
      <c r="P62" s="7">
        <v>103580</v>
      </c>
      <c r="Q62" s="7">
        <v>89599</v>
      </c>
    </row>
    <row r="63" spans="4:17" ht="14.25" customHeight="1" x14ac:dyDescent="0.25">
      <c r="D63" s="5">
        <v>15125</v>
      </c>
      <c r="E63" s="9" t="s">
        <v>63</v>
      </c>
      <c r="F63" s="7">
        <v>16967</v>
      </c>
      <c r="G63" s="7">
        <v>8334</v>
      </c>
      <c r="H63" s="7">
        <v>25201</v>
      </c>
      <c r="I63" s="7">
        <v>16568</v>
      </c>
      <c r="J63" s="7">
        <v>7935</v>
      </c>
      <c r="K63" s="9">
        <v>-698</v>
      </c>
      <c r="L63" s="7">
        <v>16169</v>
      </c>
      <c r="M63" s="7">
        <v>7536</v>
      </c>
      <c r="N63" s="7">
        <v>30898</v>
      </c>
      <c r="O63" s="7">
        <v>33064</v>
      </c>
      <c r="P63" s="7">
        <v>18597</v>
      </c>
      <c r="Q63" s="7">
        <v>32050</v>
      </c>
    </row>
    <row r="64" spans="4:17" ht="14.25" customHeight="1" x14ac:dyDescent="0.25">
      <c r="D64" s="5">
        <v>15128</v>
      </c>
      <c r="E64" s="9" t="s">
        <v>64</v>
      </c>
      <c r="F64" s="7">
        <v>2559</v>
      </c>
      <c r="G64" s="7">
        <v>5434</v>
      </c>
      <c r="H64" s="7">
        <v>5559</v>
      </c>
      <c r="I64" s="7">
        <v>5559</v>
      </c>
      <c r="J64" s="7">
        <v>6759</v>
      </c>
      <c r="K64" s="7">
        <v>7912</v>
      </c>
      <c r="L64" s="7">
        <v>10316</v>
      </c>
      <c r="M64" s="7">
        <v>10316</v>
      </c>
      <c r="N64" s="7">
        <v>12189</v>
      </c>
      <c r="O64" s="7">
        <v>26915</v>
      </c>
      <c r="P64" s="7">
        <v>26915</v>
      </c>
    </row>
    <row r="65" spans="4:17" ht="14.25" customHeight="1" x14ac:dyDescent="0.25">
      <c r="D65" s="5">
        <v>15131</v>
      </c>
      <c r="E65" s="9" t="s">
        <v>65</v>
      </c>
      <c r="O65" s="7">
        <v>-3362</v>
      </c>
      <c r="P65" s="7">
        <v>-6724</v>
      </c>
    </row>
    <row r="66" spans="4:17" ht="14.25" customHeight="1" x14ac:dyDescent="0.25">
      <c r="D66" s="5">
        <v>15134</v>
      </c>
      <c r="E66" s="9" t="s">
        <v>66</v>
      </c>
      <c r="F66" s="7">
        <v>8591</v>
      </c>
      <c r="G66" s="7">
        <v>6873</v>
      </c>
      <c r="H66" s="7">
        <v>5155</v>
      </c>
      <c r="I66" s="7">
        <v>3437</v>
      </c>
      <c r="J66" s="7">
        <v>1719</v>
      </c>
      <c r="K66" s="9">
        <v>1</v>
      </c>
      <c r="L66" s="7">
        <v>19900</v>
      </c>
      <c r="M66" s="7">
        <v>18182</v>
      </c>
      <c r="N66" s="7">
        <v>16213</v>
      </c>
      <c r="O66" s="7">
        <v>10320</v>
      </c>
      <c r="P66" s="7">
        <v>8518</v>
      </c>
      <c r="Q66" s="7">
        <v>10808</v>
      </c>
    </row>
    <row r="67" spans="4:17" ht="14.25" customHeight="1" x14ac:dyDescent="0.25">
      <c r="D67" s="5">
        <v>15135</v>
      </c>
      <c r="E67" s="9" t="s">
        <v>67</v>
      </c>
      <c r="F67" s="7">
        <v>59932</v>
      </c>
      <c r="G67" s="7">
        <v>56186</v>
      </c>
      <c r="H67" s="7">
        <v>52441</v>
      </c>
      <c r="I67" s="7">
        <v>48695</v>
      </c>
      <c r="J67" s="7">
        <v>44949</v>
      </c>
      <c r="K67" s="7">
        <v>41203</v>
      </c>
      <c r="L67" s="7">
        <v>37458</v>
      </c>
      <c r="M67" s="7">
        <v>33712</v>
      </c>
      <c r="N67" s="7">
        <v>29966</v>
      </c>
      <c r="O67" s="7">
        <v>26220</v>
      </c>
      <c r="P67" s="7">
        <v>22475</v>
      </c>
      <c r="Q67" s="7">
        <v>18729</v>
      </c>
    </row>
    <row r="68" spans="4:17" ht="14.25" customHeight="1" x14ac:dyDescent="0.25">
      <c r="D68" s="5">
        <v>15140</v>
      </c>
      <c r="E68" s="9" t="s">
        <v>68</v>
      </c>
      <c r="F68" s="7">
        <v>463543</v>
      </c>
      <c r="G68" s="7">
        <v>639487</v>
      </c>
      <c r="H68" s="7">
        <v>649201</v>
      </c>
      <c r="I68" s="7">
        <v>749917</v>
      </c>
      <c r="J68" s="7">
        <v>681468</v>
      </c>
      <c r="K68" s="7">
        <v>1163517</v>
      </c>
      <c r="L68" s="7">
        <v>1192166</v>
      </c>
      <c r="M68" s="7">
        <v>1308965</v>
      </c>
      <c r="N68" s="7">
        <v>1310119</v>
      </c>
      <c r="O68" s="7">
        <v>1442557</v>
      </c>
      <c r="P68" s="7">
        <v>1450231</v>
      </c>
      <c r="Q68" s="7">
        <v>998277</v>
      </c>
    </row>
    <row r="69" spans="4:17" ht="14.25" customHeight="1" x14ac:dyDescent="0.25">
      <c r="D69" s="5">
        <v>15145</v>
      </c>
      <c r="E69" s="9" t="s">
        <v>69</v>
      </c>
      <c r="F69" s="7">
        <v>1814986</v>
      </c>
      <c r="G69" s="7">
        <v>1814986</v>
      </c>
      <c r="H69" s="7">
        <v>1814986</v>
      </c>
      <c r="I69" s="7">
        <v>1814986</v>
      </c>
      <c r="J69" s="7">
        <v>1814986</v>
      </c>
      <c r="K69" s="7">
        <v>1814986</v>
      </c>
      <c r="L69" s="7">
        <v>1814986</v>
      </c>
      <c r="M69" s="7">
        <v>1814986</v>
      </c>
      <c r="N69" s="7">
        <v>3469744</v>
      </c>
      <c r="O69" s="7">
        <v>3469744</v>
      </c>
      <c r="P69" s="7">
        <v>3469744</v>
      </c>
      <c r="Q69" s="7">
        <v>1083412</v>
      </c>
    </row>
    <row r="70" spans="4:17" ht="14.25" customHeight="1" x14ac:dyDescent="0.25">
      <c r="D70" s="5">
        <v>15148</v>
      </c>
      <c r="E70" s="9" t="s">
        <v>70</v>
      </c>
      <c r="F70" s="7">
        <v>340216</v>
      </c>
      <c r="G70" s="7">
        <v>324279</v>
      </c>
      <c r="H70" s="7">
        <v>368829</v>
      </c>
      <c r="I70" s="7">
        <v>339851</v>
      </c>
      <c r="J70" s="7">
        <v>320002</v>
      </c>
      <c r="K70" s="7">
        <v>312512</v>
      </c>
      <c r="L70" s="7">
        <v>283534</v>
      </c>
      <c r="M70" s="7">
        <v>258658</v>
      </c>
      <c r="N70" s="7">
        <v>300207</v>
      </c>
      <c r="O70" s="7">
        <v>270267</v>
      </c>
      <c r="P70" s="7">
        <v>240326</v>
      </c>
      <c r="Q70" s="7">
        <v>319343</v>
      </c>
    </row>
    <row r="71" spans="4:17" ht="14.25" customHeight="1" x14ac:dyDescent="0.25">
      <c r="D71" s="5">
        <v>15150</v>
      </c>
      <c r="E71" s="9" t="s">
        <v>71</v>
      </c>
      <c r="F71" s="7">
        <v>85119</v>
      </c>
      <c r="G71" s="7">
        <v>693623</v>
      </c>
      <c r="H71" s="7">
        <v>-209364</v>
      </c>
      <c r="I71" s="7">
        <v>-146292</v>
      </c>
      <c r="J71" s="7">
        <v>-194319</v>
      </c>
      <c r="K71" s="7">
        <v>-221695</v>
      </c>
      <c r="L71" s="7">
        <v>317775</v>
      </c>
      <c r="M71" s="7">
        <v>309190</v>
      </c>
      <c r="N71" s="7">
        <v>-177259</v>
      </c>
      <c r="O71" s="7">
        <v>-193923</v>
      </c>
      <c r="P71" s="7">
        <v>-137393</v>
      </c>
      <c r="Q71" s="7">
        <v>-5282</v>
      </c>
    </row>
    <row r="72" spans="4:17" ht="14.25" customHeight="1" x14ac:dyDescent="0.25">
      <c r="D72" s="5">
        <v>15153</v>
      </c>
      <c r="E72" s="9" t="s">
        <v>72</v>
      </c>
      <c r="O72" s="7">
        <v>125000</v>
      </c>
      <c r="P72" s="7">
        <v>112500</v>
      </c>
      <c r="Q72" s="7">
        <v>100000</v>
      </c>
    </row>
    <row r="73" spans="4:17" ht="14.25" customHeight="1" x14ac:dyDescent="0.25">
      <c r="D73" s="5">
        <v>15160</v>
      </c>
      <c r="E73" s="9" t="s">
        <v>73</v>
      </c>
      <c r="G73" s="7">
        <v>250000</v>
      </c>
      <c r="H73" s="7">
        <v>616886</v>
      </c>
      <c r="L73" s="9">
        <v>154</v>
      </c>
      <c r="M73" s="7">
        <v>-49846</v>
      </c>
      <c r="N73" s="7">
        <v>326638263</v>
      </c>
      <c r="O73" s="7">
        <v>327076880</v>
      </c>
      <c r="P73" s="7">
        <v>327528296</v>
      </c>
    </row>
    <row r="74" spans="4:17" ht="14.25" customHeight="1" x14ac:dyDescent="0.25">
      <c r="D74" s="5">
        <v>15170</v>
      </c>
      <c r="E74" s="9" t="s">
        <v>74</v>
      </c>
      <c r="F74" s="7">
        <v>5315275</v>
      </c>
      <c r="G74" s="7">
        <v>5315275</v>
      </c>
      <c r="H74" s="7">
        <v>5315275</v>
      </c>
      <c r="I74" s="7">
        <v>5315275</v>
      </c>
      <c r="J74" s="7">
        <v>5315275</v>
      </c>
      <c r="K74" s="7">
        <v>5315275</v>
      </c>
      <c r="L74" s="7">
        <v>5315275</v>
      </c>
      <c r="M74" s="7">
        <v>5315275</v>
      </c>
      <c r="N74" s="7">
        <v>5315275</v>
      </c>
      <c r="O74" s="7">
        <v>5315275</v>
      </c>
      <c r="P74" s="7">
        <v>5315275</v>
      </c>
      <c r="Q74" s="7">
        <v>11747872</v>
      </c>
    </row>
    <row r="75" spans="4:17" ht="14.25" customHeight="1" x14ac:dyDescent="0.25">
      <c r="D75" s="5">
        <v>15180</v>
      </c>
      <c r="E75" s="9" t="s">
        <v>75</v>
      </c>
      <c r="F75" s="7">
        <v>6548849</v>
      </c>
      <c r="G75" s="7">
        <v>6548849</v>
      </c>
      <c r="H75" s="7">
        <v>6548849</v>
      </c>
      <c r="I75" s="7">
        <v>6548849</v>
      </c>
      <c r="J75" s="7">
        <v>6548849</v>
      </c>
      <c r="K75" s="7">
        <v>6548849</v>
      </c>
      <c r="L75" s="7">
        <v>6548849</v>
      </c>
      <c r="M75" s="7">
        <v>6548849</v>
      </c>
      <c r="N75" s="7">
        <v>6548849</v>
      </c>
      <c r="O75" s="7">
        <v>6548849</v>
      </c>
      <c r="P75" s="7">
        <v>6548849</v>
      </c>
      <c r="Q75" s="7">
        <v>5261694</v>
      </c>
    </row>
    <row r="76" spans="4:17" ht="14.25" customHeight="1" x14ac:dyDescent="0.25">
      <c r="D76" s="5">
        <v>15190</v>
      </c>
      <c r="E76" s="9" t="s">
        <v>76</v>
      </c>
      <c r="Q76" s="7">
        <v>45000</v>
      </c>
    </row>
    <row r="77" spans="4:17" ht="14.25" customHeight="1" x14ac:dyDescent="0.25">
      <c r="D77" s="5">
        <v>15220</v>
      </c>
      <c r="E77" s="9" t="s">
        <v>77</v>
      </c>
      <c r="F77" s="7">
        <v>193248</v>
      </c>
      <c r="G77" s="7">
        <v>193248</v>
      </c>
      <c r="H77" s="7">
        <v>193248</v>
      </c>
      <c r="I77" s="7">
        <v>193248</v>
      </c>
      <c r="J77" s="7">
        <v>193248</v>
      </c>
      <c r="K77" s="7">
        <v>193248</v>
      </c>
      <c r="L77" s="7">
        <v>193248</v>
      </c>
      <c r="M77" s="7">
        <v>193248</v>
      </c>
      <c r="N77" s="7">
        <v>193248</v>
      </c>
      <c r="O77" s="7">
        <v>193248</v>
      </c>
      <c r="P77" s="7">
        <v>193248</v>
      </c>
      <c r="Q77" s="7">
        <v>193248</v>
      </c>
    </row>
    <row r="78" spans="4:17" ht="14.25" customHeight="1" x14ac:dyDescent="0.25">
      <c r="D78" s="5">
        <v>15230</v>
      </c>
      <c r="E78" s="9" t="s">
        <v>78</v>
      </c>
      <c r="F78" s="7">
        <v>990499</v>
      </c>
      <c r="G78" s="7">
        <v>1005051</v>
      </c>
      <c r="H78" s="7">
        <v>971412</v>
      </c>
      <c r="I78" s="7">
        <v>889158</v>
      </c>
      <c r="J78" s="7">
        <v>924533</v>
      </c>
      <c r="K78" s="7">
        <v>964408</v>
      </c>
      <c r="L78" s="7">
        <v>857430</v>
      </c>
      <c r="M78" s="7">
        <v>878271</v>
      </c>
      <c r="N78" s="7">
        <v>890932</v>
      </c>
      <c r="O78" s="7">
        <v>882561</v>
      </c>
      <c r="P78" s="7">
        <v>864022</v>
      </c>
      <c r="Q78" s="7">
        <v>768178</v>
      </c>
    </row>
    <row r="79" spans="4:17" ht="14.25" customHeight="1" x14ac:dyDescent="0.25">
      <c r="D79" s="5">
        <v>15231</v>
      </c>
      <c r="E79" s="9" t="s">
        <v>79</v>
      </c>
      <c r="F79" s="9">
        <v>351</v>
      </c>
      <c r="G79" s="9">
        <v>351</v>
      </c>
      <c r="H79" s="9">
        <v>351</v>
      </c>
      <c r="I79" s="9">
        <v>351</v>
      </c>
      <c r="J79" s="9">
        <v>351</v>
      </c>
      <c r="K79" s="9">
        <v>351</v>
      </c>
      <c r="L79" s="9">
        <v>351</v>
      </c>
      <c r="M79" s="9">
        <v>351</v>
      </c>
      <c r="N79" s="9">
        <v>351</v>
      </c>
      <c r="O79" s="9">
        <v>351</v>
      </c>
      <c r="P79" s="9">
        <v>351</v>
      </c>
      <c r="Q79" s="9">
        <v>351</v>
      </c>
    </row>
    <row r="80" spans="4:17" ht="14.25" customHeight="1" x14ac:dyDescent="0.25">
      <c r="D80" s="5">
        <v>15232</v>
      </c>
      <c r="E80" s="9" t="s">
        <v>80</v>
      </c>
      <c r="F80" s="9">
        <v>170</v>
      </c>
      <c r="G80" s="9">
        <v>170</v>
      </c>
      <c r="H80" s="9">
        <v>170</v>
      </c>
      <c r="I80" s="9">
        <v>170</v>
      </c>
      <c r="J80" s="9">
        <v>170</v>
      </c>
      <c r="K80" s="9">
        <v>170</v>
      </c>
      <c r="L80" s="9">
        <v>170</v>
      </c>
      <c r="M80" s="9">
        <v>170</v>
      </c>
      <c r="N80" s="9">
        <v>170</v>
      </c>
      <c r="O80" s="9">
        <v>170</v>
      </c>
      <c r="P80" s="9">
        <v>170</v>
      </c>
      <c r="Q80" s="9">
        <v>170</v>
      </c>
    </row>
    <row r="81" spans="4:17" ht="14.25" customHeight="1" x14ac:dyDescent="0.25">
      <c r="D81" s="5">
        <v>15233</v>
      </c>
      <c r="E81" s="9" t="s">
        <v>81</v>
      </c>
      <c r="F81" s="7">
        <v>4430</v>
      </c>
      <c r="G81" s="7">
        <v>4430</v>
      </c>
      <c r="H81" s="7">
        <v>4430</v>
      </c>
      <c r="I81" s="7">
        <v>4430</v>
      </c>
      <c r="J81" s="7">
        <v>4430</v>
      </c>
      <c r="K81" s="7">
        <v>4430</v>
      </c>
      <c r="L81" s="7">
        <v>4430</v>
      </c>
      <c r="M81" s="7">
        <v>4430</v>
      </c>
      <c r="N81" s="7">
        <v>4430</v>
      </c>
      <c r="O81" s="7">
        <v>4430</v>
      </c>
      <c r="P81" s="7">
        <v>4430</v>
      </c>
      <c r="Q81" s="7">
        <v>4430</v>
      </c>
    </row>
    <row r="82" spans="4:17" ht="14.25" customHeight="1" x14ac:dyDescent="0.25">
      <c r="D82" s="5">
        <v>15235</v>
      </c>
      <c r="E82" s="9" t="s">
        <v>78</v>
      </c>
      <c r="F82" s="7">
        <v>1000</v>
      </c>
      <c r="G82" s="7">
        <v>1000</v>
      </c>
      <c r="H82" s="7">
        <v>1000</v>
      </c>
      <c r="I82" s="7">
        <v>1000</v>
      </c>
      <c r="J82" s="7">
        <v>1000</v>
      </c>
      <c r="K82" s="7">
        <v>1000</v>
      </c>
      <c r="L82" s="7">
        <v>1000</v>
      </c>
      <c r="M82" s="7">
        <v>1000</v>
      </c>
      <c r="N82" s="7">
        <v>1000</v>
      </c>
      <c r="O82" s="7">
        <v>1000</v>
      </c>
      <c r="P82" s="7">
        <v>1000</v>
      </c>
      <c r="Q82" s="7">
        <v>1000</v>
      </c>
    </row>
    <row r="83" spans="4:17" ht="14.25" customHeight="1" x14ac:dyDescent="0.25">
      <c r="D83" s="5">
        <v>15236</v>
      </c>
      <c r="E83" s="9" t="s">
        <v>82</v>
      </c>
      <c r="F83" s="7">
        <v>15000</v>
      </c>
      <c r="G83" s="7">
        <v>15000</v>
      </c>
      <c r="H83" s="7">
        <v>15000</v>
      </c>
      <c r="I83" s="7">
        <v>15000</v>
      </c>
      <c r="J83" s="7">
        <v>15000</v>
      </c>
      <c r="K83" s="7">
        <v>15000</v>
      </c>
      <c r="L83" s="7">
        <v>15000</v>
      </c>
      <c r="M83" s="7">
        <v>15000</v>
      </c>
      <c r="N83" s="7">
        <v>15000</v>
      </c>
      <c r="O83" s="7">
        <v>15000</v>
      </c>
      <c r="P83" s="7">
        <v>15000</v>
      </c>
      <c r="Q83" s="7">
        <v>15000</v>
      </c>
    </row>
    <row r="84" spans="4:17" ht="14.25" customHeight="1" x14ac:dyDescent="0.25">
      <c r="D84" s="5">
        <v>15237</v>
      </c>
      <c r="E84" s="9" t="s">
        <v>83</v>
      </c>
      <c r="F84" s="7">
        <v>19254</v>
      </c>
      <c r="G84" s="7">
        <v>19023</v>
      </c>
      <c r="H84" s="7">
        <v>19813</v>
      </c>
      <c r="I84" s="7">
        <v>20139</v>
      </c>
      <c r="J84" s="7">
        <v>19377</v>
      </c>
      <c r="K84" s="7">
        <v>18561</v>
      </c>
      <c r="L84" s="7">
        <v>19179</v>
      </c>
      <c r="M84" s="7">
        <v>18469</v>
      </c>
      <c r="N84" s="7">
        <v>18812</v>
      </c>
      <c r="O84" s="7">
        <v>18990</v>
      </c>
      <c r="P84" s="7">
        <v>18709</v>
      </c>
      <c r="Q84" s="7">
        <v>18720</v>
      </c>
    </row>
    <row r="85" spans="4:17" ht="14.25" customHeight="1" x14ac:dyDescent="0.25">
      <c r="D85" s="5">
        <v>15300</v>
      </c>
      <c r="E85" s="9" t="s">
        <v>84</v>
      </c>
      <c r="F85" s="7">
        <v>2822789</v>
      </c>
      <c r="G85" s="7">
        <v>3054428</v>
      </c>
      <c r="H85" s="7">
        <v>3581522</v>
      </c>
      <c r="I85" s="7">
        <v>3789961</v>
      </c>
      <c r="J85" s="7">
        <v>4159073</v>
      </c>
      <c r="K85" s="7">
        <v>4593553</v>
      </c>
      <c r="L85" s="7">
        <v>4840912</v>
      </c>
      <c r="M85" s="7">
        <v>5662654</v>
      </c>
      <c r="N85" s="7">
        <v>6296239</v>
      </c>
      <c r="O85" s="7">
        <v>6840622</v>
      </c>
      <c r="P85" s="7">
        <v>7074241</v>
      </c>
      <c r="Q85" s="7">
        <v>4688476</v>
      </c>
    </row>
    <row r="86" spans="4:17" ht="14.25" customHeight="1" x14ac:dyDescent="0.25">
      <c r="D86" s="5">
        <v>15400</v>
      </c>
      <c r="E86" s="9" t="s">
        <v>85</v>
      </c>
      <c r="F86" s="7">
        <v>250000</v>
      </c>
      <c r="G86" s="7">
        <v>250000</v>
      </c>
      <c r="H86" s="7">
        <v>250000</v>
      </c>
      <c r="I86" s="7">
        <v>250000</v>
      </c>
      <c r="J86" s="7">
        <v>250000</v>
      </c>
      <c r="K86" s="7">
        <v>250000</v>
      </c>
      <c r="L86" s="7">
        <v>250000</v>
      </c>
      <c r="M86" s="7">
        <v>250000</v>
      </c>
      <c r="N86" s="7">
        <v>250000</v>
      </c>
      <c r="O86" s="7">
        <v>250000</v>
      </c>
      <c r="P86" s="7">
        <v>250000</v>
      </c>
    </row>
    <row r="87" spans="4:17" ht="14.25" customHeight="1" x14ac:dyDescent="0.25">
      <c r="D87" s="5">
        <v>16010</v>
      </c>
      <c r="E87" s="9" t="s">
        <v>86</v>
      </c>
      <c r="F87" s="7">
        <v>57604058</v>
      </c>
      <c r="G87" s="7">
        <v>57604058</v>
      </c>
      <c r="H87" s="7">
        <v>57604058</v>
      </c>
      <c r="I87" s="7">
        <v>58549232</v>
      </c>
      <c r="J87" s="7">
        <v>58549232</v>
      </c>
      <c r="K87" s="7">
        <v>59753690</v>
      </c>
      <c r="L87" s="7">
        <v>59753690</v>
      </c>
      <c r="M87" s="7">
        <v>59753690</v>
      </c>
      <c r="N87" s="7">
        <v>62110288</v>
      </c>
      <c r="O87" s="7">
        <v>62110288</v>
      </c>
      <c r="P87" s="7">
        <v>62110288</v>
      </c>
      <c r="Q87" s="7">
        <v>157193459</v>
      </c>
    </row>
    <row r="88" spans="4:17" ht="14.25" customHeight="1" x14ac:dyDescent="0.25">
      <c r="D88" s="5">
        <v>16015</v>
      </c>
      <c r="E88" s="9" t="s">
        <v>87</v>
      </c>
      <c r="F88" s="7">
        <v>2900680</v>
      </c>
      <c r="G88" s="7">
        <v>2900680</v>
      </c>
      <c r="H88" s="7">
        <v>2900680</v>
      </c>
      <c r="I88" s="7">
        <v>2900680</v>
      </c>
      <c r="J88" s="7">
        <v>2900680</v>
      </c>
      <c r="K88" s="7">
        <v>2900680</v>
      </c>
      <c r="L88" s="7">
        <v>2900680</v>
      </c>
      <c r="M88" s="7">
        <v>2900680</v>
      </c>
      <c r="N88" s="7">
        <v>2900680</v>
      </c>
      <c r="O88" s="7">
        <v>2900680</v>
      </c>
      <c r="P88" s="7">
        <v>2900680</v>
      </c>
      <c r="Q88" s="7">
        <v>2680250</v>
      </c>
    </row>
    <row r="89" spans="4:17" ht="14.25" customHeight="1" x14ac:dyDescent="0.25">
      <c r="D89" s="5">
        <v>16020</v>
      </c>
      <c r="E89" s="9" t="s">
        <v>88</v>
      </c>
      <c r="F89" s="7">
        <v>1856118</v>
      </c>
      <c r="G89" s="7">
        <v>1866954</v>
      </c>
      <c r="H89" s="7">
        <v>3588229</v>
      </c>
      <c r="I89" s="7">
        <v>3614785</v>
      </c>
      <c r="J89" s="7">
        <v>3605290</v>
      </c>
      <c r="K89" s="7">
        <v>3598224</v>
      </c>
      <c r="L89" s="7">
        <v>3606671</v>
      </c>
      <c r="M89" s="7">
        <v>3598746</v>
      </c>
      <c r="N89" s="7">
        <v>8595426</v>
      </c>
      <c r="O89" s="7">
        <v>8597125</v>
      </c>
      <c r="P89" s="7">
        <v>8594268</v>
      </c>
      <c r="Q89" s="7">
        <v>12298726</v>
      </c>
    </row>
    <row r="90" spans="4:17" ht="14.25" customHeight="1" x14ac:dyDescent="0.25">
      <c r="D90" s="5">
        <v>16030</v>
      </c>
      <c r="E90" s="9" t="s">
        <v>89</v>
      </c>
      <c r="F90" s="7">
        <v>18698325</v>
      </c>
      <c r="G90" s="7">
        <v>18695114</v>
      </c>
      <c r="H90" s="7">
        <v>19394952</v>
      </c>
      <c r="I90" s="7">
        <v>19404434</v>
      </c>
      <c r="J90" s="7">
        <v>19644871</v>
      </c>
      <c r="K90" s="7">
        <v>19812371</v>
      </c>
      <c r="L90" s="7">
        <v>19816597</v>
      </c>
      <c r="M90" s="7">
        <v>19811676</v>
      </c>
      <c r="N90" s="7">
        <v>20019353</v>
      </c>
      <c r="O90" s="7">
        <v>20018380</v>
      </c>
      <c r="P90" s="7">
        <v>22730166</v>
      </c>
      <c r="Q90" s="7">
        <v>23577937</v>
      </c>
    </row>
    <row r="91" spans="4:17" ht="14.25" customHeight="1" x14ac:dyDescent="0.25">
      <c r="D91" s="5">
        <v>16035</v>
      </c>
      <c r="E91" s="9" t="s">
        <v>90</v>
      </c>
      <c r="F91" s="7">
        <v>26709940</v>
      </c>
      <c r="G91" s="7">
        <v>26709940</v>
      </c>
      <c r="H91" s="7">
        <v>26709940</v>
      </c>
      <c r="I91" s="7">
        <v>26709940</v>
      </c>
      <c r="J91" s="7">
        <v>26709940</v>
      </c>
      <c r="K91" s="7">
        <v>26709940</v>
      </c>
      <c r="L91" s="7">
        <v>26709940</v>
      </c>
      <c r="M91" s="7">
        <v>26709940</v>
      </c>
      <c r="N91" s="7">
        <v>26709940</v>
      </c>
      <c r="O91" s="7">
        <v>26709940</v>
      </c>
      <c r="P91" s="7">
        <v>26709940</v>
      </c>
      <c r="Q91" s="7">
        <v>74809940</v>
      </c>
    </row>
    <row r="92" spans="4:17" ht="14.25" customHeight="1" x14ac:dyDescent="0.25">
      <c r="D92" s="5">
        <v>16040</v>
      </c>
      <c r="E92" s="9" t="s">
        <v>91</v>
      </c>
      <c r="F92" s="7">
        <v>66223467</v>
      </c>
      <c r="G92" s="7">
        <v>66179203</v>
      </c>
      <c r="H92" s="7">
        <v>66250098</v>
      </c>
      <c r="I92" s="7">
        <v>66295197</v>
      </c>
      <c r="J92" s="7">
        <v>66210302</v>
      </c>
      <c r="K92" s="7">
        <v>66130341</v>
      </c>
      <c r="L92" s="7">
        <v>66264674</v>
      </c>
      <c r="M92" s="7">
        <v>66187988</v>
      </c>
      <c r="N92" s="7">
        <v>68899215</v>
      </c>
      <c r="O92" s="7">
        <v>68867457</v>
      </c>
      <c r="P92" s="7">
        <v>73817986</v>
      </c>
      <c r="Q92" s="7">
        <v>89738431</v>
      </c>
    </row>
    <row r="93" spans="4:17" ht="14.25" customHeight="1" x14ac:dyDescent="0.25">
      <c r="D93" s="5">
        <v>16050</v>
      </c>
      <c r="E93" s="9" t="s">
        <v>92</v>
      </c>
      <c r="F93" s="7">
        <v>254450503</v>
      </c>
      <c r="G93" s="7">
        <v>254932503</v>
      </c>
      <c r="H93" s="7">
        <v>256099886</v>
      </c>
      <c r="I93" s="7">
        <v>257641058</v>
      </c>
      <c r="J93" s="7">
        <v>258971629</v>
      </c>
      <c r="K93" s="7">
        <v>259695676</v>
      </c>
      <c r="L93" s="7">
        <v>266365669</v>
      </c>
      <c r="M93" s="7">
        <v>267775165</v>
      </c>
      <c r="N93" s="7">
        <v>279212948</v>
      </c>
      <c r="O93" s="7">
        <v>277786471</v>
      </c>
      <c r="P93" s="7">
        <v>297916693</v>
      </c>
      <c r="Q93" s="7">
        <v>430981609</v>
      </c>
    </row>
    <row r="94" spans="4:17" ht="14.25" customHeight="1" x14ac:dyDescent="0.25">
      <c r="D94" s="5">
        <v>16060</v>
      </c>
      <c r="E94" s="9" t="s">
        <v>93</v>
      </c>
      <c r="F94" s="7">
        <v>1033155</v>
      </c>
      <c r="G94" s="7">
        <v>1032989</v>
      </c>
      <c r="H94" s="7">
        <v>1033554</v>
      </c>
      <c r="I94" s="7">
        <v>1033787</v>
      </c>
      <c r="J94" s="7">
        <v>1033243</v>
      </c>
      <c r="K94" s="7">
        <v>1032659</v>
      </c>
      <c r="L94" s="7">
        <v>1033101</v>
      </c>
      <c r="M94" s="7">
        <v>1032593</v>
      </c>
      <c r="N94" s="7">
        <v>1032839</v>
      </c>
      <c r="O94" s="7">
        <v>1032966</v>
      </c>
      <c r="P94" s="7">
        <v>1032765</v>
      </c>
      <c r="Q94" s="7">
        <v>1133273</v>
      </c>
    </row>
    <row r="95" spans="4:17" ht="14.25" customHeight="1" x14ac:dyDescent="0.25">
      <c r="D95" s="5">
        <v>16070</v>
      </c>
      <c r="E95" s="9" t="s">
        <v>94</v>
      </c>
      <c r="F95" s="7">
        <v>1432033</v>
      </c>
      <c r="G95" s="7">
        <v>1429180</v>
      </c>
      <c r="H95" s="7">
        <v>1438927</v>
      </c>
      <c r="I95" s="7">
        <v>1442960</v>
      </c>
      <c r="J95" s="7">
        <v>1434385</v>
      </c>
      <c r="K95" s="7">
        <v>1427368</v>
      </c>
      <c r="L95" s="7">
        <v>1435705</v>
      </c>
      <c r="M95" s="7">
        <v>1426962</v>
      </c>
      <c r="N95" s="7">
        <v>1431196</v>
      </c>
      <c r="O95" s="7">
        <v>1430672</v>
      </c>
      <c r="P95" s="7">
        <v>1424194</v>
      </c>
      <c r="Q95" s="7">
        <v>1424317</v>
      </c>
    </row>
    <row r="96" spans="4:17" ht="14.25" customHeight="1" x14ac:dyDescent="0.25">
      <c r="D96" s="5">
        <v>16090</v>
      </c>
      <c r="E96" s="9" t="s">
        <v>95</v>
      </c>
      <c r="F96" s="7">
        <v>8865316</v>
      </c>
      <c r="G96" s="7">
        <v>8865316</v>
      </c>
      <c r="H96" s="7">
        <v>8865316</v>
      </c>
      <c r="I96" s="7">
        <v>8865316</v>
      </c>
      <c r="J96" s="7">
        <v>9484608</v>
      </c>
      <c r="K96" s="7">
        <v>9484608</v>
      </c>
      <c r="L96" s="7">
        <v>9484608</v>
      </c>
      <c r="M96" s="7">
        <v>9484608</v>
      </c>
      <c r="N96" s="7">
        <v>9484608</v>
      </c>
      <c r="O96" s="7">
        <v>9484608</v>
      </c>
      <c r="P96" s="7">
        <v>9484608</v>
      </c>
      <c r="Q96" s="7">
        <v>9484608</v>
      </c>
    </row>
    <row r="97" spans="4:17" ht="14.25" customHeight="1" x14ac:dyDescent="0.25">
      <c r="D97" s="5">
        <v>16100</v>
      </c>
      <c r="E97" s="9" t="s">
        <v>96</v>
      </c>
      <c r="F97" s="7">
        <v>82590246</v>
      </c>
      <c r="G97" s="7">
        <v>85875177</v>
      </c>
      <c r="H97" s="7">
        <v>92228162</v>
      </c>
      <c r="I97" s="7">
        <v>96467840</v>
      </c>
      <c r="J97" s="7">
        <v>99729743</v>
      </c>
      <c r="K97" s="7">
        <v>127180334</v>
      </c>
      <c r="L97" s="7">
        <v>134876586</v>
      </c>
      <c r="M97" s="7">
        <v>142340904</v>
      </c>
      <c r="N97" s="7">
        <v>133016980</v>
      </c>
      <c r="O97" s="7">
        <v>144009578</v>
      </c>
      <c r="P97" s="7">
        <v>123445872</v>
      </c>
      <c r="Q97" s="7">
        <v>112818718</v>
      </c>
    </row>
    <row r="98" spans="4:17" ht="14.25" customHeight="1" x14ac:dyDescent="0.25">
      <c r="D98" s="5">
        <v>16510</v>
      </c>
      <c r="E98" s="9" t="s">
        <v>97</v>
      </c>
      <c r="F98" s="7">
        <v>-9148256</v>
      </c>
      <c r="G98" s="7">
        <v>-9191273</v>
      </c>
      <c r="H98" s="7">
        <v>-9251633</v>
      </c>
      <c r="I98" s="7">
        <v>-9344418</v>
      </c>
      <c r="J98" s="7">
        <v>-9443124</v>
      </c>
      <c r="K98" s="7">
        <v>-9534466</v>
      </c>
      <c r="L98" s="7">
        <v>-9629143</v>
      </c>
      <c r="M98" s="7">
        <v>-9720670</v>
      </c>
      <c r="N98" s="7">
        <v>-9819951</v>
      </c>
      <c r="O98" s="7">
        <v>-9926090</v>
      </c>
      <c r="P98" s="7">
        <v>-10014790</v>
      </c>
      <c r="Q98" s="7">
        <v>-10763846</v>
      </c>
    </row>
    <row r="99" spans="4:17" ht="14.25" customHeight="1" x14ac:dyDescent="0.25">
      <c r="D99" s="5">
        <v>16515</v>
      </c>
      <c r="E99" s="9" t="s">
        <v>98</v>
      </c>
      <c r="F99" s="7">
        <v>-723872</v>
      </c>
      <c r="G99" s="7">
        <v>-723872</v>
      </c>
      <c r="H99" s="7">
        <v>-723872</v>
      </c>
      <c r="I99" s="7">
        <v>-723872</v>
      </c>
      <c r="J99" s="7">
        <v>-723872</v>
      </c>
      <c r="K99" s="7">
        <v>-723872</v>
      </c>
      <c r="L99" s="7">
        <v>-723872</v>
      </c>
      <c r="M99" s="7">
        <v>-723872</v>
      </c>
      <c r="N99" s="7">
        <v>-723872</v>
      </c>
      <c r="O99" s="7">
        <v>-723872</v>
      </c>
      <c r="P99" s="7">
        <v>-723872</v>
      </c>
      <c r="Q99" s="7">
        <v>-797153</v>
      </c>
    </row>
    <row r="100" spans="4:17" ht="14.25" customHeight="1" x14ac:dyDescent="0.25">
      <c r="D100" s="5">
        <v>16530</v>
      </c>
      <c r="E100" s="9" t="s">
        <v>97</v>
      </c>
      <c r="F100" s="7">
        <v>-4689305</v>
      </c>
      <c r="G100" s="7">
        <v>-4808137</v>
      </c>
      <c r="H100" s="7">
        <v>-4942734</v>
      </c>
      <c r="I100" s="7">
        <v>-5063472</v>
      </c>
      <c r="J100" s="7">
        <v>-5179604</v>
      </c>
      <c r="K100" s="7">
        <v>-5295925</v>
      </c>
      <c r="L100" s="7">
        <v>-5413809</v>
      </c>
      <c r="M100" s="7">
        <v>-5530055</v>
      </c>
      <c r="N100" s="7">
        <v>-5660214</v>
      </c>
      <c r="O100" s="7">
        <v>-5789685</v>
      </c>
      <c r="P100" s="7">
        <v>-5934383</v>
      </c>
      <c r="Q100" s="7">
        <v>-6040325</v>
      </c>
    </row>
    <row r="101" spans="4:17" ht="14.25" customHeight="1" x14ac:dyDescent="0.25">
      <c r="D101" s="5">
        <v>16535</v>
      </c>
      <c r="E101" s="9" t="s">
        <v>99</v>
      </c>
      <c r="F101" s="7">
        <v>-4172935</v>
      </c>
      <c r="G101" s="7">
        <v>-4261448</v>
      </c>
      <c r="H101" s="7">
        <v>-4344386</v>
      </c>
      <c r="I101" s="7">
        <v>-4433822</v>
      </c>
      <c r="J101" s="7">
        <v>-4531547</v>
      </c>
      <c r="K101" s="7">
        <v>-4611102</v>
      </c>
      <c r="L101" s="7">
        <v>-4689037</v>
      </c>
      <c r="M101" s="7">
        <v>-4787908</v>
      </c>
      <c r="N101" s="7">
        <v>-4873954</v>
      </c>
      <c r="O101" s="7">
        <v>-4967321</v>
      </c>
      <c r="P101" s="7">
        <v>-5040717</v>
      </c>
      <c r="Q101" s="7">
        <v>-5493078</v>
      </c>
    </row>
    <row r="102" spans="4:17" ht="14.25" customHeight="1" x14ac:dyDescent="0.25">
      <c r="D102" s="5">
        <v>16540</v>
      </c>
      <c r="E102" s="9" t="s">
        <v>97</v>
      </c>
      <c r="F102" s="7">
        <v>-11098845</v>
      </c>
      <c r="G102" s="7">
        <v>-11257732</v>
      </c>
      <c r="H102" s="7">
        <v>-11438811</v>
      </c>
      <c r="I102" s="7">
        <v>-11611142</v>
      </c>
      <c r="J102" s="7">
        <v>-11759361</v>
      </c>
      <c r="K102" s="7">
        <v>-11906288</v>
      </c>
      <c r="L102" s="7">
        <v>-12085350</v>
      </c>
      <c r="M102" s="7">
        <v>-12233278</v>
      </c>
      <c r="N102" s="7">
        <v>-12527491</v>
      </c>
      <c r="O102" s="7">
        <v>-12768134</v>
      </c>
      <c r="P102" s="7">
        <v>-13040709</v>
      </c>
      <c r="Q102" s="7">
        <v>-12985947</v>
      </c>
    </row>
    <row r="103" spans="4:17" ht="14.25" customHeight="1" x14ac:dyDescent="0.25">
      <c r="D103" s="5">
        <v>16550</v>
      </c>
      <c r="E103" s="9" t="s">
        <v>97</v>
      </c>
      <c r="F103" s="7">
        <v>-125543183</v>
      </c>
      <c r="G103" s="7">
        <v>-126768584</v>
      </c>
      <c r="H103" s="7">
        <v>-128086284</v>
      </c>
      <c r="I103" s="7">
        <v>-129943685</v>
      </c>
      <c r="J103" s="7">
        <v>-131474163</v>
      </c>
      <c r="K103" s="7">
        <v>-133174714</v>
      </c>
      <c r="L103" s="7">
        <v>-135088535</v>
      </c>
      <c r="M103" s="7">
        <v>-136454473</v>
      </c>
      <c r="N103" s="7">
        <v>-138366474</v>
      </c>
      <c r="O103" s="7">
        <v>-140052164</v>
      </c>
      <c r="P103" s="7">
        <v>-142382145</v>
      </c>
      <c r="Q103" s="7">
        <v>-142524966</v>
      </c>
    </row>
    <row r="104" spans="4:17" ht="14.25" customHeight="1" x14ac:dyDescent="0.25">
      <c r="D104" s="5">
        <v>16560</v>
      </c>
      <c r="E104" s="9" t="s">
        <v>97</v>
      </c>
      <c r="F104" s="7">
        <v>-802467</v>
      </c>
      <c r="G104" s="7">
        <v>-808857</v>
      </c>
      <c r="H104" s="7">
        <v>-815978</v>
      </c>
      <c r="I104" s="7">
        <v>-822766</v>
      </c>
      <c r="J104" s="7">
        <v>-828777</v>
      </c>
      <c r="K104" s="7">
        <v>-834749</v>
      </c>
      <c r="L104" s="7">
        <v>-841746</v>
      </c>
      <c r="M104" s="7">
        <v>-847794</v>
      </c>
      <c r="N104" s="7">
        <v>-858098</v>
      </c>
      <c r="O104" s="7">
        <v>-868283</v>
      </c>
      <c r="P104" s="7">
        <v>-878140</v>
      </c>
      <c r="Q104" s="7">
        <v>-874287</v>
      </c>
    </row>
    <row r="105" spans="4:17" ht="14.25" customHeight="1" x14ac:dyDescent="0.25">
      <c r="D105" s="5">
        <v>16570</v>
      </c>
      <c r="E105" s="9" t="s">
        <v>97</v>
      </c>
      <c r="F105" s="7">
        <v>-1162088</v>
      </c>
      <c r="G105" s="7">
        <v>-1172295</v>
      </c>
      <c r="H105" s="7">
        <v>-1186429</v>
      </c>
      <c r="I105" s="7">
        <v>-1196452</v>
      </c>
      <c r="J105" s="7">
        <v>-1196077</v>
      </c>
      <c r="K105" s="7">
        <v>-1194542</v>
      </c>
      <c r="L105" s="7">
        <v>-1206253</v>
      </c>
      <c r="M105" s="7">
        <v>-1205835</v>
      </c>
      <c r="N105" s="7">
        <v>-1216645</v>
      </c>
      <c r="O105" s="7">
        <v>-1224155</v>
      </c>
      <c r="P105" s="7">
        <v>-1224716</v>
      </c>
      <c r="Q105" s="7">
        <v>-1233907</v>
      </c>
    </row>
    <row r="106" spans="4:17" ht="14.25" customHeight="1" x14ac:dyDescent="0.25">
      <c r="D106" s="5">
        <v>16590</v>
      </c>
      <c r="E106" s="9" t="s">
        <v>97</v>
      </c>
      <c r="F106" s="7">
        <v>-2142530</v>
      </c>
      <c r="G106" s="7">
        <v>-2253450</v>
      </c>
      <c r="H106" s="7">
        <v>-2362820</v>
      </c>
      <c r="I106" s="7">
        <v>-2472190</v>
      </c>
      <c r="J106" s="7">
        <v>-2593171</v>
      </c>
      <c r="K106" s="7">
        <v>-2705122</v>
      </c>
      <c r="L106" s="7">
        <v>-2817072</v>
      </c>
      <c r="M106" s="7">
        <v>-2929022</v>
      </c>
      <c r="N106" s="7">
        <v>-3040972</v>
      </c>
      <c r="O106" s="7">
        <v>-3152922</v>
      </c>
      <c r="P106" s="7">
        <v>-3264873</v>
      </c>
      <c r="Q106" s="7">
        <v>-3376823</v>
      </c>
    </row>
    <row r="107" spans="4:17" ht="14.25" customHeight="1" x14ac:dyDescent="0.25">
      <c r="D107" s="5">
        <v>17120</v>
      </c>
      <c r="E107" s="9" t="s">
        <v>100</v>
      </c>
      <c r="F107" s="7">
        <v>79000</v>
      </c>
      <c r="G107" s="7">
        <v>79000</v>
      </c>
      <c r="H107" s="7">
        <v>79000</v>
      </c>
      <c r="I107" s="7">
        <v>79000</v>
      </c>
      <c r="J107" s="7">
        <v>79000</v>
      </c>
      <c r="K107" s="7">
        <v>79000</v>
      </c>
      <c r="L107" s="7">
        <v>79000</v>
      </c>
      <c r="M107" s="7">
        <v>79000</v>
      </c>
      <c r="N107" s="7">
        <v>79000</v>
      </c>
      <c r="O107" s="7">
        <v>79000</v>
      </c>
      <c r="P107" s="7">
        <v>79000</v>
      </c>
      <c r="Q107" s="7">
        <v>79000</v>
      </c>
    </row>
    <row r="108" spans="4:17" ht="14.25" customHeight="1" x14ac:dyDescent="0.25">
      <c r="D108" s="5">
        <v>19110</v>
      </c>
      <c r="E108" s="9" t="s">
        <v>101</v>
      </c>
      <c r="F108" s="7">
        <v>316284</v>
      </c>
      <c r="G108" s="7">
        <v>316284</v>
      </c>
      <c r="H108" s="7">
        <v>316284</v>
      </c>
      <c r="I108" s="7">
        <v>316284</v>
      </c>
      <c r="J108" s="7">
        <v>316284</v>
      </c>
      <c r="K108" s="7">
        <v>316284</v>
      </c>
      <c r="L108" s="7">
        <v>316284</v>
      </c>
      <c r="M108" s="7">
        <v>316284</v>
      </c>
      <c r="N108" s="7">
        <v>41070</v>
      </c>
      <c r="O108" s="7">
        <v>41070</v>
      </c>
      <c r="P108" s="7">
        <v>41070</v>
      </c>
    </row>
    <row r="109" spans="4:17" ht="14.25" customHeight="1" x14ac:dyDescent="0.25">
      <c r="D109" s="5">
        <v>19200</v>
      </c>
      <c r="E109" s="9" t="s">
        <v>102</v>
      </c>
      <c r="H109" s="7">
        <v>250000</v>
      </c>
      <c r="I109" s="7">
        <v>1592117</v>
      </c>
      <c r="J109" s="7">
        <v>1598884</v>
      </c>
      <c r="K109" s="7">
        <v>1580199</v>
      </c>
      <c r="L109" s="7">
        <v>1574504</v>
      </c>
      <c r="M109" s="7">
        <v>1567291</v>
      </c>
      <c r="N109" s="7">
        <v>1553051</v>
      </c>
      <c r="O109" s="7">
        <v>1540931</v>
      </c>
      <c r="P109" s="7">
        <v>4532274</v>
      </c>
      <c r="Q109" s="7">
        <v>4520273</v>
      </c>
    </row>
    <row r="110" spans="4:17" ht="14.25" customHeight="1" x14ac:dyDescent="0.25">
      <c r="D110" s="5">
        <v>19225</v>
      </c>
      <c r="E110" s="9" t="s">
        <v>102</v>
      </c>
      <c r="F110" s="7">
        <v>347948</v>
      </c>
      <c r="G110" s="7">
        <v>336406</v>
      </c>
      <c r="H110" s="7">
        <v>324802</v>
      </c>
      <c r="I110" s="7">
        <v>313198</v>
      </c>
      <c r="J110" s="7">
        <v>301405</v>
      </c>
      <c r="K110" s="7">
        <v>289611</v>
      </c>
      <c r="L110" s="7">
        <v>277753</v>
      </c>
      <c r="M110" s="7">
        <v>265831</v>
      </c>
      <c r="N110" s="7">
        <v>253845</v>
      </c>
      <c r="O110" s="7">
        <v>241793</v>
      </c>
      <c r="P110" s="7">
        <v>229676</v>
      </c>
      <c r="Q110" s="7">
        <v>217494</v>
      </c>
    </row>
    <row r="111" spans="4:17" ht="14.25" customHeight="1" x14ac:dyDescent="0.25">
      <c r="D111" s="5">
        <v>19244</v>
      </c>
      <c r="E111" s="9" t="s">
        <v>102</v>
      </c>
      <c r="F111" s="7">
        <v>-10000</v>
      </c>
      <c r="G111" s="7">
        <v>-10000</v>
      </c>
      <c r="H111" s="7">
        <v>-10000</v>
      </c>
      <c r="I111" s="7">
        <v>-10000</v>
      </c>
      <c r="J111" s="7">
        <v>-10000</v>
      </c>
      <c r="K111" s="7">
        <v>-10000</v>
      </c>
      <c r="L111" s="7">
        <v>-10000</v>
      </c>
      <c r="M111" s="7">
        <v>-10000</v>
      </c>
      <c r="N111" s="7">
        <v>-10000</v>
      </c>
      <c r="O111" s="7">
        <v>-10000</v>
      </c>
      <c r="P111" s="7">
        <v>-10000</v>
      </c>
      <c r="Q111" s="7">
        <v>-10000</v>
      </c>
    </row>
    <row r="112" spans="4:17" ht="14.25" customHeight="1" x14ac:dyDescent="0.25">
      <c r="D112" s="5">
        <v>19293</v>
      </c>
      <c r="E112" s="9" t="s">
        <v>102</v>
      </c>
      <c r="F112" s="7">
        <v>1335724</v>
      </c>
      <c r="G112" s="7">
        <v>1316801</v>
      </c>
      <c r="H112" s="7">
        <v>1292907</v>
      </c>
      <c r="I112" s="7">
        <v>1274622</v>
      </c>
      <c r="J112" s="7">
        <v>1250446</v>
      </c>
      <c r="K112" s="7">
        <v>1229667</v>
      </c>
      <c r="L112" s="7">
        <v>1205993</v>
      </c>
      <c r="M112" s="7">
        <v>1179453</v>
      </c>
      <c r="N112" s="7">
        <v>1159567</v>
      </c>
      <c r="O112" s="7">
        <v>1134056</v>
      </c>
      <c r="P112" s="7">
        <v>1114737</v>
      </c>
      <c r="Q112" s="7">
        <v>1086325</v>
      </c>
    </row>
    <row r="113" spans="4:17" ht="14.25" customHeight="1" x14ac:dyDescent="0.25">
      <c r="D113" s="5">
        <v>19300</v>
      </c>
      <c r="E113" s="9" t="s">
        <v>103</v>
      </c>
      <c r="I113" s="7">
        <v>55722103</v>
      </c>
      <c r="Q113" s="7">
        <v>2706136</v>
      </c>
    </row>
    <row r="114" spans="4:17" ht="14.25" customHeight="1" x14ac:dyDescent="0.25">
      <c r="D114" s="5">
        <v>19310</v>
      </c>
      <c r="E114" s="9" t="s">
        <v>84</v>
      </c>
      <c r="F114" s="7">
        <v>11615328</v>
      </c>
      <c r="G114" s="7">
        <v>11615328</v>
      </c>
      <c r="H114" s="7">
        <v>11615328</v>
      </c>
      <c r="I114" s="7">
        <v>11615328</v>
      </c>
      <c r="J114" s="7">
        <v>11615328</v>
      </c>
      <c r="K114" s="7">
        <v>11615328</v>
      </c>
      <c r="L114" s="7">
        <v>11615328</v>
      </c>
      <c r="M114" s="7">
        <v>11615328</v>
      </c>
      <c r="N114" s="7">
        <v>11615328</v>
      </c>
      <c r="O114" s="7">
        <v>11615328</v>
      </c>
      <c r="P114" s="7">
        <v>11615328</v>
      </c>
      <c r="Q114" s="7">
        <v>15287530</v>
      </c>
    </row>
    <row r="115" spans="4:17" ht="14.25" customHeight="1" x14ac:dyDescent="0.25">
      <c r="D115" s="5">
        <v>19400</v>
      </c>
      <c r="E115" s="9" t="s">
        <v>104</v>
      </c>
      <c r="F115" s="9">
        <v>53</v>
      </c>
      <c r="G115" s="9">
        <v>2</v>
      </c>
      <c r="H115" s="9">
        <v>302</v>
      </c>
      <c r="I115" s="9">
        <v>438</v>
      </c>
      <c r="J115" s="9">
        <v>119</v>
      </c>
      <c r="K115" s="9">
        <v>-222</v>
      </c>
      <c r="L115" s="9">
        <v>36</v>
      </c>
      <c r="M115" s="7">
        <v>-7271</v>
      </c>
      <c r="N115" s="7">
        <v>-7127</v>
      </c>
      <c r="O115" s="7">
        <v>-7053</v>
      </c>
      <c r="P115" s="7">
        <v>-7177</v>
      </c>
      <c r="Q115" s="9">
        <v>-163</v>
      </c>
    </row>
    <row r="116" spans="4:17" ht="14.25" customHeight="1" x14ac:dyDescent="0.25">
      <c r="D116" s="5">
        <v>19510</v>
      </c>
      <c r="E116" s="9" t="s">
        <v>75</v>
      </c>
      <c r="F116" s="7">
        <v>37171641</v>
      </c>
      <c r="G116" s="7">
        <v>37171072</v>
      </c>
      <c r="H116" s="7">
        <v>37171318</v>
      </c>
      <c r="I116" s="7">
        <v>38040648</v>
      </c>
      <c r="J116" s="7">
        <v>38040136</v>
      </c>
      <c r="K116" s="7">
        <v>38039819</v>
      </c>
      <c r="L116" s="7">
        <v>38040234</v>
      </c>
      <c r="M116" s="7">
        <v>38039745</v>
      </c>
      <c r="N116" s="7">
        <v>54657748</v>
      </c>
      <c r="O116" s="7">
        <v>54729413</v>
      </c>
      <c r="P116" s="7">
        <v>54917729</v>
      </c>
      <c r="Q116" s="7">
        <v>31443324</v>
      </c>
    </row>
    <row r="117" spans="4:17" ht="14.25" customHeight="1" x14ac:dyDescent="0.25">
      <c r="D117" s="5">
        <v>19515</v>
      </c>
      <c r="E117" s="9" t="s">
        <v>105</v>
      </c>
      <c r="F117" s="7">
        <v>-16434928</v>
      </c>
      <c r="G117" s="7">
        <v>-16764902</v>
      </c>
      <c r="H117" s="7">
        <v>-17095692</v>
      </c>
      <c r="I117" s="7">
        <v>-17426400</v>
      </c>
      <c r="J117" s="7">
        <v>-17756432</v>
      </c>
      <c r="K117" s="7">
        <v>-19441567</v>
      </c>
      <c r="L117" s="7">
        <v>-20005437</v>
      </c>
      <c r="M117" s="7">
        <v>-20568402</v>
      </c>
      <c r="N117" s="7">
        <v>-21132348</v>
      </c>
      <c r="O117" s="7">
        <v>-21695535</v>
      </c>
      <c r="P117" s="7">
        <v>-22258682</v>
      </c>
      <c r="Q117" s="7">
        <v>-12475008</v>
      </c>
    </row>
    <row r="118" spans="4:17" ht="14.25" customHeight="1" x14ac:dyDescent="0.25">
      <c r="D118" s="5">
        <v>19520</v>
      </c>
      <c r="E118" s="9" t="s">
        <v>106</v>
      </c>
      <c r="F118" s="7">
        <v>807995</v>
      </c>
      <c r="G118" s="7">
        <v>807995</v>
      </c>
      <c r="H118" s="7">
        <v>807995</v>
      </c>
      <c r="I118" s="7">
        <v>807995</v>
      </c>
      <c r="J118" s="7">
        <v>807995</v>
      </c>
      <c r="K118" s="7">
        <v>807995</v>
      </c>
      <c r="L118" s="7">
        <v>807995</v>
      </c>
      <c r="M118" s="7">
        <v>807995</v>
      </c>
      <c r="N118" s="7">
        <v>807995</v>
      </c>
      <c r="O118" s="7">
        <v>807995</v>
      </c>
      <c r="P118" s="7">
        <v>807995</v>
      </c>
      <c r="Q118" s="7">
        <v>807995</v>
      </c>
    </row>
    <row r="119" spans="4:17" ht="14.25" customHeight="1" x14ac:dyDescent="0.25">
      <c r="D119" s="5">
        <v>19525</v>
      </c>
      <c r="E119" s="9" t="s">
        <v>105</v>
      </c>
      <c r="F119" s="7">
        <v>-435691</v>
      </c>
      <c r="G119" s="7">
        <v>-446351</v>
      </c>
      <c r="H119" s="7">
        <v>-457012</v>
      </c>
      <c r="I119" s="7">
        <v>-467672</v>
      </c>
      <c r="J119" s="7">
        <v>-478333</v>
      </c>
      <c r="K119" s="7">
        <v>-488993</v>
      </c>
      <c r="L119" s="7">
        <v>-499653</v>
      </c>
      <c r="M119" s="7">
        <v>-510314</v>
      </c>
      <c r="N119" s="7">
        <v>-520974</v>
      </c>
      <c r="O119" s="7">
        <v>-531635</v>
      </c>
      <c r="P119" s="7">
        <v>-542295</v>
      </c>
      <c r="Q119" s="7">
        <v>-552955</v>
      </c>
    </row>
    <row r="120" spans="4:17" ht="14.25" customHeight="1" x14ac:dyDescent="0.25">
      <c r="D120" s="5">
        <v>19530</v>
      </c>
      <c r="E120" s="9" t="s">
        <v>107</v>
      </c>
      <c r="F120" s="7">
        <v>253000</v>
      </c>
      <c r="G120" s="7">
        <v>253000</v>
      </c>
      <c r="H120" s="7">
        <v>253000</v>
      </c>
      <c r="I120" s="7">
        <v>253000</v>
      </c>
      <c r="J120" s="7">
        <v>253000</v>
      </c>
      <c r="K120" s="7">
        <v>253000</v>
      </c>
      <c r="L120" s="7">
        <v>253000</v>
      </c>
      <c r="M120" s="7">
        <v>253000</v>
      </c>
      <c r="N120" s="7">
        <v>253000</v>
      </c>
      <c r="O120" s="7">
        <v>253000</v>
      </c>
      <c r="P120" s="7">
        <v>253000</v>
      </c>
      <c r="Q120" s="7">
        <v>253000</v>
      </c>
    </row>
    <row r="121" spans="4:17" ht="14.25" customHeight="1" x14ac:dyDescent="0.25">
      <c r="D121" s="5">
        <v>19535</v>
      </c>
      <c r="E121" s="9" t="s">
        <v>105</v>
      </c>
      <c r="F121" s="7">
        <v>-253000</v>
      </c>
      <c r="G121" s="7">
        <v>-253000</v>
      </c>
      <c r="H121" s="7">
        <v>-253000</v>
      </c>
      <c r="I121" s="7">
        <v>-253000</v>
      </c>
      <c r="J121" s="7">
        <v>-253000</v>
      </c>
      <c r="K121" s="7">
        <v>-253000</v>
      </c>
      <c r="L121" s="7">
        <v>-253000</v>
      </c>
      <c r="M121" s="7">
        <v>-253000</v>
      </c>
      <c r="N121" s="7">
        <v>-253000</v>
      </c>
      <c r="O121" s="7">
        <v>-253000</v>
      </c>
      <c r="P121" s="7">
        <v>-253000</v>
      </c>
      <c r="Q121" s="7">
        <v>-253000</v>
      </c>
    </row>
    <row r="122" spans="4:17" ht="14.25" customHeight="1" x14ac:dyDescent="0.25">
      <c r="D122" s="5">
        <v>19540</v>
      </c>
      <c r="E122" s="9" t="s">
        <v>108</v>
      </c>
      <c r="F122" s="7">
        <v>41089341</v>
      </c>
      <c r="G122" s="7">
        <v>41037535</v>
      </c>
      <c r="H122" s="7">
        <v>41064652</v>
      </c>
      <c r="I122" s="7">
        <v>41108980</v>
      </c>
      <c r="J122" s="7">
        <v>41050952</v>
      </c>
      <c r="K122" s="7">
        <v>83607082</v>
      </c>
      <c r="L122" s="7">
        <v>83664744</v>
      </c>
      <c r="M122" s="7">
        <v>83615968</v>
      </c>
      <c r="N122" s="7">
        <v>83297565</v>
      </c>
      <c r="O122" s="7">
        <v>82258222</v>
      </c>
      <c r="P122" s="7">
        <v>82242048</v>
      </c>
      <c r="Q122" s="7">
        <v>89095424</v>
      </c>
    </row>
    <row r="123" spans="4:17" ht="14.25" customHeight="1" x14ac:dyDescent="0.25">
      <c r="D123" s="5">
        <v>19545</v>
      </c>
      <c r="E123" s="9" t="s">
        <v>105</v>
      </c>
      <c r="F123" s="7">
        <v>-5896252</v>
      </c>
      <c r="G123" s="7">
        <v>-5896252</v>
      </c>
      <c r="H123" s="7">
        <v>-5896252</v>
      </c>
      <c r="I123" s="7">
        <v>-5896252</v>
      </c>
      <c r="J123" s="7">
        <v>-5896252</v>
      </c>
      <c r="K123" s="7">
        <v>-5896252</v>
      </c>
      <c r="L123" s="7">
        <v>-5896252</v>
      </c>
      <c r="M123" s="7">
        <v>-5896252</v>
      </c>
      <c r="N123" s="7">
        <v>-5896252</v>
      </c>
      <c r="O123" s="7">
        <v>-5896252</v>
      </c>
      <c r="P123" s="7">
        <v>-5896252</v>
      </c>
      <c r="Q123" s="7">
        <v>-5896252</v>
      </c>
    </row>
    <row r="124" spans="4:17" ht="14.25" customHeight="1" x14ac:dyDescent="0.25">
      <c r="D124" s="5">
        <v>19550</v>
      </c>
      <c r="E124" s="9" t="s">
        <v>109</v>
      </c>
      <c r="J124" s="7">
        <v>56294886</v>
      </c>
      <c r="K124" s="7">
        <v>56341332</v>
      </c>
      <c r="L124" s="7">
        <v>56341332</v>
      </c>
      <c r="M124" s="7">
        <v>56341332</v>
      </c>
      <c r="N124" s="7">
        <v>56370262</v>
      </c>
      <c r="O124" s="7">
        <v>56370262</v>
      </c>
      <c r="P124" s="7">
        <v>56370262</v>
      </c>
      <c r="Q124" s="7">
        <v>56320416</v>
      </c>
    </row>
    <row r="125" spans="4:17" ht="14.25" customHeight="1" x14ac:dyDescent="0.25">
      <c r="D125" s="5">
        <v>19555</v>
      </c>
      <c r="E125" s="9" t="s">
        <v>110</v>
      </c>
      <c r="J125" s="7">
        <v>-312749</v>
      </c>
      <c r="K125" s="7">
        <v>-625757</v>
      </c>
      <c r="L125" s="7">
        <v>-625757</v>
      </c>
      <c r="M125" s="7">
        <v>-625757</v>
      </c>
      <c r="N125" s="7">
        <v>-625757</v>
      </c>
      <c r="O125" s="7">
        <v>-625757</v>
      </c>
      <c r="P125" s="7">
        <v>-625757</v>
      </c>
    </row>
    <row r="126" spans="4:17" ht="14.25" customHeight="1" x14ac:dyDescent="0.25">
      <c r="D126" s="5">
        <v>19560</v>
      </c>
      <c r="E126" s="9" t="s">
        <v>111</v>
      </c>
      <c r="Q126" s="7">
        <v>50700000</v>
      </c>
    </row>
    <row r="127" spans="4:17" ht="14.25" customHeight="1" x14ac:dyDescent="0.25">
      <c r="D127" s="5">
        <v>19565</v>
      </c>
      <c r="E127" s="9" t="s">
        <v>110</v>
      </c>
      <c r="Q127" s="7">
        <v>-1690000</v>
      </c>
    </row>
    <row r="128" spans="4:17" ht="14.25" customHeight="1" x14ac:dyDescent="0.25">
      <c r="D128" s="5">
        <v>19570</v>
      </c>
      <c r="E128" s="9" t="s">
        <v>112</v>
      </c>
      <c r="Q128" s="7">
        <v>70000</v>
      </c>
    </row>
    <row r="129" spans="4:17" ht="14.25" customHeight="1" x14ac:dyDescent="0.25">
      <c r="D129" s="5">
        <v>19575</v>
      </c>
      <c r="E129" s="9" t="s">
        <v>110</v>
      </c>
      <c r="Q129" s="7">
        <v>-3500</v>
      </c>
    </row>
    <row r="130" spans="4:17" ht="14.25" customHeight="1" x14ac:dyDescent="0.25">
      <c r="D130" s="5">
        <v>19580</v>
      </c>
      <c r="E130" s="9" t="s">
        <v>113</v>
      </c>
      <c r="Q130" s="7">
        <v>617000</v>
      </c>
    </row>
    <row r="131" spans="4:17" ht="14.25" customHeight="1" x14ac:dyDescent="0.25">
      <c r="D131" s="5">
        <v>19585</v>
      </c>
      <c r="E131" s="9" t="s">
        <v>110</v>
      </c>
      <c r="Q131" s="7">
        <v>-32183</v>
      </c>
    </row>
    <row r="132" spans="4:17" ht="14.25" customHeight="1" x14ac:dyDescent="0.25">
      <c r="D132" s="5">
        <v>21000</v>
      </c>
      <c r="E132" s="9" t="s">
        <v>32</v>
      </c>
      <c r="F132" s="7">
        <v>-2533287</v>
      </c>
      <c r="G132" s="7">
        <v>-6968038</v>
      </c>
      <c r="H132" s="7">
        <v>-10746061</v>
      </c>
      <c r="I132" s="7">
        <v>-11827634</v>
      </c>
      <c r="J132" s="7">
        <v>-10915765</v>
      </c>
      <c r="K132" s="7">
        <v>-12523362</v>
      </c>
      <c r="L132" s="7">
        <v>-20319982</v>
      </c>
      <c r="M132" s="7">
        <v>-14537466</v>
      </c>
      <c r="N132" s="7">
        <v>-25374939</v>
      </c>
      <c r="O132" s="7">
        <v>-16318157</v>
      </c>
      <c r="P132" s="7">
        <v>-16837288</v>
      </c>
      <c r="Q132" s="7">
        <v>-28254854</v>
      </c>
    </row>
    <row r="133" spans="4:17" ht="14.25" customHeight="1" x14ac:dyDescent="0.25">
      <c r="D133" s="5">
        <v>21100</v>
      </c>
      <c r="E133" s="9" t="s">
        <v>32</v>
      </c>
      <c r="F133" s="7">
        <v>-18659156</v>
      </c>
      <c r="G133" s="7">
        <v>-19167388</v>
      </c>
      <c r="H133" s="7">
        <v>-19537622</v>
      </c>
      <c r="I133" s="7">
        <v>-19277769</v>
      </c>
      <c r="J133" s="7">
        <v>-18754724</v>
      </c>
      <c r="K133" s="7">
        <v>-18250127</v>
      </c>
      <c r="L133" s="7">
        <v>-16879736</v>
      </c>
      <c r="M133" s="7">
        <v>-16487056</v>
      </c>
      <c r="N133" s="7">
        <v>-17598592</v>
      </c>
      <c r="O133" s="7">
        <v>-16322620</v>
      </c>
      <c r="P133" s="7">
        <v>-17279071</v>
      </c>
      <c r="Q133" s="7">
        <v>-17038149</v>
      </c>
    </row>
    <row r="134" spans="4:17" ht="14.25" customHeight="1" x14ac:dyDescent="0.25">
      <c r="D134" s="5">
        <v>21105</v>
      </c>
      <c r="E134" s="9" t="s">
        <v>114</v>
      </c>
      <c r="F134" s="7">
        <v>-7726144</v>
      </c>
      <c r="G134" s="7">
        <v>-6894256</v>
      </c>
      <c r="H134" s="7">
        <v>-7205876</v>
      </c>
      <c r="I134" s="7">
        <v>-6506341</v>
      </c>
      <c r="J134" s="7">
        <v>-5470410</v>
      </c>
      <c r="K134" s="7">
        <v>-6672383</v>
      </c>
      <c r="L134" s="7">
        <v>-7283570</v>
      </c>
      <c r="M134" s="7">
        <v>-9149766</v>
      </c>
      <c r="N134" s="7">
        <v>-10307707</v>
      </c>
      <c r="O134" s="7">
        <v>-10034018</v>
      </c>
      <c r="P134" s="7">
        <v>-7183833</v>
      </c>
      <c r="Q134" s="7">
        <v>-3327117</v>
      </c>
    </row>
    <row r="135" spans="4:17" ht="14.25" customHeight="1" x14ac:dyDescent="0.25">
      <c r="D135" s="5">
        <v>21151</v>
      </c>
      <c r="E135" s="9" t="s">
        <v>115</v>
      </c>
      <c r="F135" s="7">
        <v>-738553</v>
      </c>
      <c r="G135" s="7">
        <v>-729680</v>
      </c>
      <c r="H135" s="7">
        <v>-760002</v>
      </c>
      <c r="I135" s="7">
        <v>-772482</v>
      </c>
      <c r="J135" s="7">
        <v>-743265</v>
      </c>
      <c r="K135" s="7">
        <v>-711953</v>
      </c>
      <c r="L135" s="7">
        <v>-735654</v>
      </c>
      <c r="M135" s="7">
        <v>-708435</v>
      </c>
      <c r="N135" s="7">
        <v>-721610</v>
      </c>
      <c r="O135" s="7">
        <v>-728417</v>
      </c>
      <c r="P135" s="7">
        <v>-717656</v>
      </c>
      <c r="Q135" s="7">
        <v>-718046</v>
      </c>
    </row>
    <row r="136" spans="4:17" ht="14.25" customHeight="1" x14ac:dyDescent="0.25">
      <c r="D136" s="5">
        <v>22100</v>
      </c>
      <c r="E136" s="9" t="s">
        <v>116</v>
      </c>
      <c r="F136" s="7">
        <v>7987825</v>
      </c>
      <c r="G136" s="7">
        <v>6943274</v>
      </c>
      <c r="H136" s="7">
        <v>6964798</v>
      </c>
      <c r="I136" s="7">
        <v>6640082</v>
      </c>
      <c r="J136" s="7">
        <v>8268199</v>
      </c>
      <c r="K136" s="7">
        <v>6572652</v>
      </c>
      <c r="L136" s="7">
        <v>14403922</v>
      </c>
      <c r="M136" s="7">
        <v>3658888</v>
      </c>
      <c r="N136" s="7">
        <v>2666816</v>
      </c>
      <c r="O136" s="7">
        <v>6787905</v>
      </c>
      <c r="P136" s="7">
        <v>4554260</v>
      </c>
      <c r="Q136" s="7">
        <v>8647577</v>
      </c>
    </row>
    <row r="137" spans="4:17" ht="14.25" customHeight="1" x14ac:dyDescent="0.25">
      <c r="D137" s="5">
        <v>22105</v>
      </c>
      <c r="E137" s="9" t="s">
        <v>117</v>
      </c>
      <c r="F137" s="7">
        <v>-12238561</v>
      </c>
      <c r="G137" s="7">
        <v>-12781281</v>
      </c>
      <c r="H137" s="7">
        <v>-15339100</v>
      </c>
      <c r="I137" s="7">
        <v>-17700607</v>
      </c>
      <c r="J137" s="7">
        <v>-15773299</v>
      </c>
      <c r="K137" s="7">
        <v>-18852916</v>
      </c>
      <c r="L137" s="7">
        <v>-34057137</v>
      </c>
      <c r="M137" s="7">
        <v>-19476566</v>
      </c>
      <c r="N137" s="7">
        <v>-23801380</v>
      </c>
      <c r="O137" s="7">
        <v>-28442266</v>
      </c>
      <c r="P137" s="7">
        <v>-33088613</v>
      </c>
      <c r="Q137" s="7">
        <v>-35093407</v>
      </c>
    </row>
    <row r="138" spans="4:17" ht="14.25" customHeight="1" x14ac:dyDescent="0.25">
      <c r="D138" s="5">
        <v>22110</v>
      </c>
      <c r="E138" s="9" t="s">
        <v>118</v>
      </c>
      <c r="F138" s="7">
        <v>-265835</v>
      </c>
      <c r="G138" s="7">
        <v>-443669</v>
      </c>
      <c r="H138" s="7">
        <v>-507889</v>
      </c>
      <c r="I138" s="7">
        <v>-252855</v>
      </c>
      <c r="J138" s="7">
        <v>-295653</v>
      </c>
      <c r="K138" s="7">
        <v>-451728</v>
      </c>
      <c r="L138" s="7">
        <v>-932314</v>
      </c>
      <c r="M138" s="7">
        <v>-498457</v>
      </c>
      <c r="N138" s="7">
        <v>-254546</v>
      </c>
      <c r="O138" s="7">
        <v>-331012</v>
      </c>
      <c r="P138" s="7">
        <v>-533692</v>
      </c>
      <c r="Q138" s="7">
        <v>-723479</v>
      </c>
    </row>
    <row r="139" spans="4:17" ht="14.25" customHeight="1" x14ac:dyDescent="0.25">
      <c r="D139" s="5">
        <v>22111</v>
      </c>
      <c r="E139" s="9" t="s">
        <v>119</v>
      </c>
      <c r="F139" s="7">
        <v>-116317</v>
      </c>
      <c r="G139" s="7">
        <v>-155430</v>
      </c>
      <c r="H139" s="7">
        <v>-264834</v>
      </c>
      <c r="I139" s="7">
        <v>-3101</v>
      </c>
      <c r="J139" s="7">
        <v>-49961</v>
      </c>
      <c r="K139" s="7">
        <v>-86234</v>
      </c>
      <c r="L139" s="7">
        <v>-79254</v>
      </c>
      <c r="M139" s="7">
        <v>-135817</v>
      </c>
      <c r="N139" s="7">
        <v>-189080</v>
      </c>
      <c r="O139" s="7">
        <v>-41153</v>
      </c>
      <c r="P139" s="7">
        <v>-394273</v>
      </c>
      <c r="Q139" s="7">
        <v>-104756</v>
      </c>
    </row>
    <row r="140" spans="4:17" ht="14.25" customHeight="1" x14ac:dyDescent="0.25">
      <c r="D140" s="5">
        <v>22120</v>
      </c>
      <c r="E140" s="9" t="s">
        <v>120</v>
      </c>
      <c r="F140" s="7">
        <v>-112617</v>
      </c>
      <c r="G140" s="7">
        <v>-134346</v>
      </c>
      <c r="H140" s="7">
        <v>-90271</v>
      </c>
      <c r="I140" s="7">
        <v>-97041</v>
      </c>
      <c r="J140" s="7">
        <v>-122771</v>
      </c>
      <c r="K140" s="7">
        <v>-152363</v>
      </c>
      <c r="L140" s="7">
        <v>-106992</v>
      </c>
      <c r="M140" s="7">
        <v>-67919</v>
      </c>
      <c r="N140" s="7">
        <v>-80779</v>
      </c>
      <c r="O140" s="7">
        <v>-111376</v>
      </c>
      <c r="P140" s="7">
        <v>-140394</v>
      </c>
      <c r="Q140" s="7">
        <v>-97565</v>
      </c>
    </row>
    <row r="141" spans="4:17" ht="14.25" customHeight="1" x14ac:dyDescent="0.25">
      <c r="D141" s="5">
        <v>22125</v>
      </c>
      <c r="E141" s="9" t="s">
        <v>121</v>
      </c>
      <c r="F141" s="7">
        <v>-83334</v>
      </c>
      <c r="G141" s="7">
        <v>-166668</v>
      </c>
      <c r="H141" s="7">
        <v>-250002</v>
      </c>
      <c r="I141" s="7">
        <v>-83336</v>
      </c>
      <c r="J141" s="7">
        <v>-166670</v>
      </c>
      <c r="K141" s="7">
        <v>70973</v>
      </c>
      <c r="L141" s="7">
        <v>-12361</v>
      </c>
      <c r="M141" s="7">
        <v>-95695</v>
      </c>
      <c r="N141" s="7">
        <v>70971</v>
      </c>
      <c r="O141" s="7">
        <v>-12363</v>
      </c>
      <c r="P141" s="7">
        <v>-95697</v>
      </c>
    </row>
    <row r="142" spans="4:17" ht="14.25" customHeight="1" x14ac:dyDescent="0.25">
      <c r="D142" s="5">
        <v>22130</v>
      </c>
      <c r="E142" s="9" t="s">
        <v>122</v>
      </c>
      <c r="F142" s="7">
        <v>-601266</v>
      </c>
      <c r="G142" s="7">
        <v>-649694</v>
      </c>
      <c r="H142" s="7">
        <v>-732404</v>
      </c>
      <c r="I142" s="7">
        <v>-834917</v>
      </c>
      <c r="J142" s="7">
        <v>-958783</v>
      </c>
      <c r="K142" s="7">
        <v>-990005</v>
      </c>
      <c r="L142" s="7">
        <v>-996577</v>
      </c>
      <c r="M142" s="7">
        <v>-887483</v>
      </c>
      <c r="N142" s="7">
        <v>-1044687</v>
      </c>
      <c r="O142" s="7">
        <v>-962852</v>
      </c>
      <c r="P142" s="7">
        <v>-1082938</v>
      </c>
      <c r="Q142" s="7">
        <v>-460546</v>
      </c>
    </row>
    <row r="143" spans="4:17" ht="14.25" customHeight="1" x14ac:dyDescent="0.25">
      <c r="D143" s="5">
        <v>22140</v>
      </c>
      <c r="E143" s="9" t="s">
        <v>123</v>
      </c>
      <c r="F143" s="7">
        <v>-1250664</v>
      </c>
      <c r="G143" s="7">
        <v>-1480800</v>
      </c>
      <c r="H143" s="7">
        <v>-911962</v>
      </c>
      <c r="I143" s="7">
        <v>-1064265</v>
      </c>
      <c r="J143" s="7">
        <v>-1409499</v>
      </c>
      <c r="K143" s="7">
        <v>-1430467</v>
      </c>
      <c r="L143" s="7">
        <v>-1448614</v>
      </c>
      <c r="M143" s="7">
        <v>-1287056</v>
      </c>
      <c r="N143" s="7">
        <v>-2224894</v>
      </c>
      <c r="O143" s="7">
        <v>-2215065</v>
      </c>
      <c r="P143" s="7">
        <v>-1289903</v>
      </c>
      <c r="Q143" s="7">
        <v>-1450765</v>
      </c>
    </row>
    <row r="144" spans="4:17" ht="14.25" customHeight="1" x14ac:dyDescent="0.25">
      <c r="D144" s="5">
        <v>22150</v>
      </c>
      <c r="E144" s="9" t="s">
        <v>124</v>
      </c>
      <c r="F144" s="7">
        <v>-1132190</v>
      </c>
      <c r="G144" s="7">
        <v>-1585610</v>
      </c>
      <c r="H144" s="7">
        <v>-614990</v>
      </c>
      <c r="I144" s="7">
        <v>-1748214</v>
      </c>
      <c r="J144" s="7">
        <v>-1800801</v>
      </c>
      <c r="K144" s="7">
        <v>-1805553</v>
      </c>
      <c r="L144" s="7">
        <v>-2036512</v>
      </c>
      <c r="M144" s="7">
        <v>-1970223</v>
      </c>
      <c r="N144" s="7">
        <v>-2958570</v>
      </c>
      <c r="O144" s="7">
        <v>-2777829</v>
      </c>
      <c r="P144" s="7">
        <v>-1992311</v>
      </c>
      <c r="Q144" s="7">
        <v>-540401</v>
      </c>
    </row>
    <row r="145" spans="4:17" ht="14.25" customHeight="1" x14ac:dyDescent="0.25">
      <c r="D145" s="5">
        <v>22152</v>
      </c>
      <c r="E145" s="9" t="s">
        <v>125</v>
      </c>
      <c r="O145" s="7">
        <v>-69000</v>
      </c>
      <c r="P145" s="7">
        <v>-114000</v>
      </c>
    </row>
    <row r="146" spans="4:17" ht="14.25" customHeight="1" x14ac:dyDescent="0.25">
      <c r="D146" s="5">
        <v>22155</v>
      </c>
      <c r="E146" s="9" t="s">
        <v>126</v>
      </c>
      <c r="F146" s="7">
        <v>-329384</v>
      </c>
      <c r="G146" s="7">
        <v>-619717</v>
      </c>
      <c r="H146" s="7">
        <v>-858050</v>
      </c>
      <c r="I146" s="7">
        <v>-1121383</v>
      </c>
      <c r="J146" s="7">
        <v>-534716</v>
      </c>
      <c r="K146" s="7">
        <v>-698049</v>
      </c>
      <c r="L146" s="7">
        <v>-111382</v>
      </c>
      <c r="M146" s="7">
        <v>-474715</v>
      </c>
      <c r="N146" s="7">
        <v>-54784</v>
      </c>
      <c r="O146" s="7">
        <v>-218117</v>
      </c>
      <c r="P146" s="7">
        <v>-381450</v>
      </c>
      <c r="Q146" s="7">
        <v>-50000</v>
      </c>
    </row>
    <row r="147" spans="4:17" ht="14.25" customHeight="1" x14ac:dyDescent="0.25">
      <c r="D147" s="5">
        <v>22160</v>
      </c>
      <c r="E147" s="9" t="s">
        <v>127</v>
      </c>
      <c r="F147" s="7">
        <v>-44806</v>
      </c>
      <c r="G147" s="7">
        <v>-263212</v>
      </c>
      <c r="H147" s="7">
        <v>-496169</v>
      </c>
      <c r="I147" s="7">
        <v>-522979</v>
      </c>
      <c r="J147" s="7">
        <v>-566147</v>
      </c>
      <c r="K147" s="7">
        <v>-571426</v>
      </c>
      <c r="L147" s="7">
        <v>-641482</v>
      </c>
      <c r="M147" s="7">
        <v>-816332</v>
      </c>
      <c r="N147" s="7">
        <v>-965361</v>
      </c>
      <c r="O147" s="7">
        <v>-1142702</v>
      </c>
      <c r="P147" s="7">
        <v>-446734</v>
      </c>
      <c r="Q147" s="7">
        <v>-440196</v>
      </c>
    </row>
    <row r="148" spans="4:17" ht="14.25" customHeight="1" x14ac:dyDescent="0.25">
      <c r="D148" s="5">
        <v>22170</v>
      </c>
      <c r="E148" s="9" t="s">
        <v>128</v>
      </c>
      <c r="F148" s="7">
        <v>-483285</v>
      </c>
      <c r="G148" s="7">
        <v>-675984</v>
      </c>
      <c r="H148" s="7">
        <v>-883964</v>
      </c>
      <c r="I148" s="7">
        <v>-823125</v>
      </c>
      <c r="J148" s="7">
        <v>-935654</v>
      </c>
      <c r="K148" s="7">
        <v>-939009</v>
      </c>
      <c r="L148" s="7">
        <v>-964583</v>
      </c>
      <c r="M148" s="7">
        <v>-872649</v>
      </c>
      <c r="N148" s="7">
        <v>-998885</v>
      </c>
      <c r="O148" s="7">
        <v>-878517</v>
      </c>
      <c r="P148" s="7">
        <v>-1081278</v>
      </c>
      <c r="Q148" s="7">
        <v>-205415</v>
      </c>
    </row>
    <row r="149" spans="4:17" ht="14.25" customHeight="1" x14ac:dyDescent="0.25">
      <c r="D149" s="5">
        <v>22180</v>
      </c>
      <c r="E149" s="9" t="s">
        <v>129</v>
      </c>
      <c r="F149" s="9">
        <v>652</v>
      </c>
      <c r="G149" s="9">
        <v>652</v>
      </c>
      <c r="H149" s="7">
        <v>-697185</v>
      </c>
      <c r="I149" s="7">
        <v>-829799</v>
      </c>
      <c r="J149" s="7">
        <v>-1019963</v>
      </c>
      <c r="K149" s="7">
        <v>-1142853</v>
      </c>
      <c r="L149" s="7">
        <v>-1287756</v>
      </c>
      <c r="M149" s="7">
        <v>-1483339</v>
      </c>
      <c r="N149" s="7">
        <v>-1672433</v>
      </c>
      <c r="O149" s="7">
        <v>-1672433</v>
      </c>
      <c r="P149" s="7">
        <v>-1865536</v>
      </c>
      <c r="Q149" s="7">
        <v>-2124438</v>
      </c>
    </row>
    <row r="150" spans="4:17" ht="14.25" customHeight="1" x14ac:dyDescent="0.25">
      <c r="D150" s="5">
        <v>22187</v>
      </c>
      <c r="E150" s="9" t="s">
        <v>130</v>
      </c>
      <c r="F150" s="7">
        <v>-115456</v>
      </c>
      <c r="G150" s="7">
        <v>-160595</v>
      </c>
      <c r="H150" s="7">
        <v>-192768</v>
      </c>
      <c r="I150" s="7">
        <v>-132521</v>
      </c>
      <c r="J150" s="7">
        <v>-206043</v>
      </c>
      <c r="K150" s="7">
        <v>-227139</v>
      </c>
      <c r="L150" s="7">
        <v>-618594</v>
      </c>
      <c r="M150" s="7">
        <v>-1090923</v>
      </c>
      <c r="N150" s="7">
        <v>-1421686</v>
      </c>
      <c r="O150" s="7">
        <v>-1684307</v>
      </c>
      <c r="P150" s="7">
        <v>-1751369</v>
      </c>
      <c r="Q150" s="7">
        <v>-240576</v>
      </c>
    </row>
    <row r="151" spans="4:17" ht="14.25" customHeight="1" x14ac:dyDescent="0.25">
      <c r="D151" s="5">
        <v>22190</v>
      </c>
      <c r="E151" s="9" t="s">
        <v>131</v>
      </c>
      <c r="F151" s="7">
        <v>-21335</v>
      </c>
      <c r="G151" s="7">
        <v>29783</v>
      </c>
      <c r="H151" s="7">
        <v>110043</v>
      </c>
      <c r="I151" s="7">
        <v>158321</v>
      </c>
      <c r="J151" s="7">
        <v>136988</v>
      </c>
      <c r="K151" s="7">
        <v>121673</v>
      </c>
      <c r="L151" s="7">
        <v>106358</v>
      </c>
      <c r="M151" s="7">
        <v>91043</v>
      </c>
      <c r="N151" s="7">
        <v>75728</v>
      </c>
      <c r="O151" s="7">
        <v>60413</v>
      </c>
      <c r="P151" s="7">
        <v>45098</v>
      </c>
      <c r="Q151" s="9">
        <v>-1</v>
      </c>
    </row>
    <row r="152" spans="4:17" ht="14.25" customHeight="1" x14ac:dyDescent="0.25">
      <c r="D152" s="5">
        <v>22200</v>
      </c>
      <c r="E152" s="9" t="s">
        <v>132</v>
      </c>
      <c r="F152" s="7">
        <v>-25307</v>
      </c>
      <c r="G152" s="7">
        <v>-50609</v>
      </c>
      <c r="H152" s="7">
        <v>-141032</v>
      </c>
      <c r="I152" s="7">
        <v>-49011</v>
      </c>
      <c r="J152" s="7">
        <v>-95022</v>
      </c>
      <c r="K152" s="7">
        <v>-166000</v>
      </c>
      <c r="L152" s="7">
        <v>-64074</v>
      </c>
      <c r="M152" s="7">
        <v>-117756</v>
      </c>
      <c r="N152" s="7">
        <v>-3000</v>
      </c>
      <c r="O152" s="7">
        <v>-44769</v>
      </c>
      <c r="P152" s="7">
        <v>-89903</v>
      </c>
      <c r="Q152" s="7">
        <v>-3000</v>
      </c>
    </row>
    <row r="153" spans="4:17" ht="14.25" customHeight="1" x14ac:dyDescent="0.25">
      <c r="D153" s="5">
        <v>22211</v>
      </c>
      <c r="E153" s="9" t="s">
        <v>132</v>
      </c>
      <c r="F153" s="7">
        <v>-3605243</v>
      </c>
      <c r="G153" s="7">
        <v>-7210486</v>
      </c>
      <c r="I153" s="7">
        <v>-3644861</v>
      </c>
      <c r="J153" s="7">
        <v>-7289722</v>
      </c>
      <c r="L153" s="7">
        <v>-3829194</v>
      </c>
      <c r="M153" s="7">
        <v>-7658389</v>
      </c>
      <c r="N153" s="7">
        <v>-3884375</v>
      </c>
      <c r="O153" s="7">
        <v>-9063543</v>
      </c>
      <c r="P153" s="7">
        <v>-13919012</v>
      </c>
    </row>
    <row r="154" spans="4:17" ht="14.25" customHeight="1" x14ac:dyDescent="0.25">
      <c r="D154" s="5">
        <v>22215</v>
      </c>
      <c r="E154" s="9" t="s">
        <v>132</v>
      </c>
      <c r="F154" s="7">
        <v>-28572</v>
      </c>
      <c r="G154" s="7">
        <v>-57145</v>
      </c>
      <c r="H154" s="7">
        <v>-78190</v>
      </c>
      <c r="I154" s="7">
        <v>-27313</v>
      </c>
      <c r="J154" s="7">
        <v>-53376</v>
      </c>
      <c r="K154" s="7">
        <v>-145491</v>
      </c>
      <c r="L154" s="7">
        <v>-10642</v>
      </c>
      <c r="M154" s="7">
        <v>-174444</v>
      </c>
      <c r="N154" s="7">
        <v>-46120</v>
      </c>
      <c r="O154" s="7">
        <v>-214842</v>
      </c>
      <c r="P154" s="7">
        <v>-309437</v>
      </c>
      <c r="Q154" s="7">
        <v>-46719</v>
      </c>
    </row>
    <row r="155" spans="4:17" ht="14.25" customHeight="1" x14ac:dyDescent="0.25">
      <c r="D155" s="5">
        <v>22217</v>
      </c>
      <c r="E155" s="9" t="s">
        <v>132</v>
      </c>
      <c r="F155" s="7">
        <v>-290149</v>
      </c>
      <c r="G155" s="7">
        <v>-574945</v>
      </c>
      <c r="H155" s="7">
        <v>5353</v>
      </c>
      <c r="I155" s="7">
        <v>-274640</v>
      </c>
      <c r="J155" s="7">
        <v>-554633</v>
      </c>
      <c r="L155" s="7">
        <v>-286080</v>
      </c>
      <c r="M155" s="7">
        <v>-595943</v>
      </c>
      <c r="O155" s="7">
        <v>-284412</v>
      </c>
      <c r="P155" s="7">
        <v>-559650</v>
      </c>
      <c r="Q155" s="7">
        <v>-43553</v>
      </c>
    </row>
    <row r="156" spans="4:17" ht="14.25" customHeight="1" x14ac:dyDescent="0.25">
      <c r="D156" s="5">
        <v>22219</v>
      </c>
      <c r="E156" s="9" t="s">
        <v>132</v>
      </c>
      <c r="F156" s="7">
        <v>-63493</v>
      </c>
      <c r="G156" s="7">
        <v>-72820</v>
      </c>
      <c r="H156" s="7">
        <v>-82146</v>
      </c>
      <c r="I156" s="7">
        <v>-90223</v>
      </c>
      <c r="J156" s="7">
        <v>-99549</v>
      </c>
      <c r="K156" s="7">
        <v>-108876</v>
      </c>
      <c r="L156" s="7">
        <v>-118202</v>
      </c>
      <c r="M156" s="7">
        <v>-80702</v>
      </c>
      <c r="N156" s="7">
        <v>-93202</v>
      </c>
    </row>
    <row r="157" spans="4:17" ht="14.25" customHeight="1" x14ac:dyDescent="0.25">
      <c r="D157" s="5">
        <v>22220</v>
      </c>
      <c r="E157" s="9" t="s">
        <v>132</v>
      </c>
      <c r="F157" s="7">
        <v>-14081</v>
      </c>
      <c r="G157" s="7">
        <v>-15489</v>
      </c>
      <c r="I157" s="7">
        <v>-1408</v>
      </c>
      <c r="J157" s="7">
        <v>-2816</v>
      </c>
      <c r="K157" s="7">
        <v>-4224</v>
      </c>
      <c r="L157" s="7">
        <v>-5632</v>
      </c>
      <c r="M157" s="7">
        <v>-7040</v>
      </c>
      <c r="N157" s="7">
        <v>-8448</v>
      </c>
      <c r="O157" s="7">
        <v>-9856</v>
      </c>
      <c r="P157" s="7">
        <v>-11265</v>
      </c>
      <c r="Q157" s="7">
        <v>-12673</v>
      </c>
    </row>
    <row r="158" spans="4:17" ht="14.25" customHeight="1" x14ac:dyDescent="0.25">
      <c r="D158" s="5">
        <v>22305</v>
      </c>
      <c r="E158" s="9" t="s">
        <v>133</v>
      </c>
      <c r="F158" s="7">
        <v>-5688</v>
      </c>
      <c r="G158" s="7">
        <v>-3846</v>
      </c>
      <c r="H158" s="7">
        <v>-3585</v>
      </c>
      <c r="I158" s="7">
        <v>-3240</v>
      </c>
      <c r="J158" s="7">
        <v>-3174</v>
      </c>
      <c r="K158" s="7">
        <v>-3076</v>
      </c>
      <c r="L158" s="7">
        <v>-3196</v>
      </c>
      <c r="M158" s="7">
        <v>-3217</v>
      </c>
      <c r="N158" s="7">
        <v>-3338</v>
      </c>
      <c r="O158" s="7">
        <v>-3442</v>
      </c>
      <c r="P158" s="7">
        <v>-2804</v>
      </c>
      <c r="Q158" s="7">
        <v>-2813</v>
      </c>
    </row>
    <row r="159" spans="4:17" ht="14.25" customHeight="1" x14ac:dyDescent="0.25">
      <c r="D159" s="5">
        <v>22310</v>
      </c>
      <c r="E159" s="9" t="s">
        <v>133</v>
      </c>
      <c r="F159" s="7">
        <v>-349406</v>
      </c>
      <c r="G159" s="7">
        <v>-335774</v>
      </c>
      <c r="H159" s="7">
        <v>-251508</v>
      </c>
      <c r="I159" s="7">
        <v>-271882</v>
      </c>
      <c r="J159" s="7">
        <v>-255118</v>
      </c>
      <c r="K159" s="7">
        <v>-217690</v>
      </c>
      <c r="L159" s="7">
        <v>-389109</v>
      </c>
      <c r="M159" s="7">
        <v>-283910</v>
      </c>
      <c r="N159" s="7">
        <v>-332653</v>
      </c>
      <c r="O159" s="7">
        <v>-465889</v>
      </c>
      <c r="P159" s="7">
        <v>-401981</v>
      </c>
      <c r="Q159" s="7">
        <v>-430909</v>
      </c>
    </row>
    <row r="160" spans="4:17" ht="14.25" customHeight="1" x14ac:dyDescent="0.25">
      <c r="D160" s="5">
        <v>22320</v>
      </c>
      <c r="E160" s="9" t="s">
        <v>134</v>
      </c>
      <c r="F160" s="7">
        <v>-19085</v>
      </c>
      <c r="G160" s="7">
        <v>49291</v>
      </c>
      <c r="H160" s="7">
        <v>61874</v>
      </c>
      <c r="I160" s="7">
        <v>57928</v>
      </c>
      <c r="J160" s="7">
        <v>18748</v>
      </c>
      <c r="K160" s="7">
        <v>50988</v>
      </c>
      <c r="L160" s="7">
        <v>38573</v>
      </c>
      <c r="M160" s="7">
        <v>50094</v>
      </c>
      <c r="N160" s="7">
        <v>52675</v>
      </c>
      <c r="O160" s="7">
        <v>66963</v>
      </c>
      <c r="P160" s="7">
        <v>63456</v>
      </c>
    </row>
    <row r="161" spans="4:17" ht="14.25" customHeight="1" x14ac:dyDescent="0.25">
      <c r="D161" s="5">
        <v>22330</v>
      </c>
      <c r="E161" s="9" t="s">
        <v>135</v>
      </c>
      <c r="F161" s="7">
        <v>-680499</v>
      </c>
      <c r="G161" s="7">
        <v>-678836</v>
      </c>
      <c r="H161" s="7">
        <v>-673972</v>
      </c>
      <c r="I161" s="7">
        <v>-675866</v>
      </c>
      <c r="J161" s="7">
        <v>-673100</v>
      </c>
      <c r="K161" s="7">
        <v>-669869</v>
      </c>
      <c r="L161" s="7">
        <v>-671498</v>
      </c>
      <c r="M161" s="7">
        <v>-657714</v>
      </c>
      <c r="N161" s="7">
        <v>-657795</v>
      </c>
      <c r="O161" s="7">
        <v>-650577</v>
      </c>
      <c r="P161" s="7">
        <v>-605344</v>
      </c>
      <c r="Q161" s="7">
        <v>-1017663</v>
      </c>
    </row>
    <row r="162" spans="4:17" ht="14.25" customHeight="1" x14ac:dyDescent="0.25">
      <c r="D162" s="5">
        <v>22335</v>
      </c>
      <c r="E162" s="9" t="s">
        <v>135</v>
      </c>
      <c r="F162" s="7">
        <v>-1623814</v>
      </c>
      <c r="G162" s="7">
        <v>-1628623</v>
      </c>
      <c r="H162" s="7">
        <v>-1633706</v>
      </c>
      <c r="I162" s="7">
        <v>-1638761</v>
      </c>
      <c r="J162" s="7">
        <v>-1643589</v>
      </c>
      <c r="K162" s="7">
        <v>-1648482</v>
      </c>
      <c r="L162" s="7">
        <v>-1653622</v>
      </c>
      <c r="M162" s="7">
        <v>-1658458</v>
      </c>
      <c r="N162" s="7">
        <v>-1825285</v>
      </c>
      <c r="O162" s="7">
        <v>-1830195</v>
      </c>
      <c r="P162" s="7">
        <v>-1835092</v>
      </c>
      <c r="Q162" s="7">
        <v>-1945156</v>
      </c>
    </row>
    <row r="163" spans="4:17" ht="14.25" customHeight="1" x14ac:dyDescent="0.25">
      <c r="D163" s="5">
        <v>22340</v>
      </c>
      <c r="E163" s="9" t="s">
        <v>136</v>
      </c>
      <c r="F163" s="7">
        <v>-1289036</v>
      </c>
      <c r="G163" s="7">
        <v>-1939435</v>
      </c>
      <c r="H163" s="7">
        <v>-2105384</v>
      </c>
      <c r="I163" s="7">
        <v>-2713963</v>
      </c>
      <c r="J163" s="7">
        <v>-3062069</v>
      </c>
      <c r="K163" s="7">
        <v>-3788330</v>
      </c>
      <c r="L163" s="7">
        <v>-4408898</v>
      </c>
      <c r="M163" s="7">
        <v>-5056017</v>
      </c>
      <c r="N163" s="7">
        <v>-5781739</v>
      </c>
      <c r="O163" s="7">
        <v>-6541942</v>
      </c>
      <c r="P163" s="7">
        <v>-7264663</v>
      </c>
      <c r="Q163" s="7">
        <v>-3981691</v>
      </c>
    </row>
    <row r="164" spans="4:17" ht="14.25" customHeight="1" x14ac:dyDescent="0.25">
      <c r="D164" s="5">
        <v>22345</v>
      </c>
      <c r="E164" s="9" t="s">
        <v>137</v>
      </c>
      <c r="F164" s="7">
        <v>-57015</v>
      </c>
      <c r="G164" s="7">
        <v>-108403</v>
      </c>
      <c r="H164" s="7">
        <v>-162373</v>
      </c>
      <c r="I164" s="7">
        <v>-209148</v>
      </c>
      <c r="J164" s="7">
        <v>-285188</v>
      </c>
      <c r="K164" s="7">
        <v>-157141</v>
      </c>
      <c r="L164" s="7">
        <v>-243231</v>
      </c>
      <c r="M164" s="7">
        <v>-347436</v>
      </c>
      <c r="N164" s="7">
        <v>-193667</v>
      </c>
      <c r="O164" s="7">
        <v>-281896</v>
      </c>
      <c r="P164" s="7">
        <v>-370712</v>
      </c>
      <c r="Q164" s="7">
        <v>-125739</v>
      </c>
    </row>
    <row r="165" spans="4:17" ht="14.25" customHeight="1" x14ac:dyDescent="0.25">
      <c r="D165" s="5">
        <v>22350</v>
      </c>
      <c r="E165" s="9" t="s">
        <v>138</v>
      </c>
      <c r="F165" s="7">
        <v>-140158</v>
      </c>
      <c r="G165" s="7">
        <v>-159812</v>
      </c>
      <c r="H165" s="7">
        <v>-200203</v>
      </c>
      <c r="I165" s="7">
        <v>-217624</v>
      </c>
      <c r="J165" s="7">
        <v>-273313</v>
      </c>
      <c r="K165" s="7">
        <v>-297987</v>
      </c>
      <c r="L165" s="7">
        <v>-334058</v>
      </c>
      <c r="M165" s="7">
        <v>-378197</v>
      </c>
      <c r="N165" s="7">
        <v>-353849</v>
      </c>
      <c r="O165" s="7">
        <v>-297348</v>
      </c>
      <c r="P165" s="7">
        <v>-358588</v>
      </c>
      <c r="Q165" s="7">
        <v>-210000</v>
      </c>
    </row>
    <row r="166" spans="4:17" ht="14.25" customHeight="1" x14ac:dyDescent="0.25">
      <c r="D166" s="5">
        <v>22355</v>
      </c>
      <c r="E166" s="9" t="s">
        <v>139</v>
      </c>
      <c r="F166" s="7">
        <v>-32818</v>
      </c>
      <c r="J166" s="7">
        <v>-24704</v>
      </c>
      <c r="K166" s="7">
        <v>-8598</v>
      </c>
      <c r="L166" s="7">
        <v>-4100</v>
      </c>
      <c r="P166" s="7">
        <v>-7774</v>
      </c>
    </row>
    <row r="167" spans="4:17" ht="14.25" customHeight="1" x14ac:dyDescent="0.25">
      <c r="D167" s="5">
        <v>22360</v>
      </c>
      <c r="E167" s="9" t="s">
        <v>140</v>
      </c>
      <c r="F167" s="7">
        <v>-2682025</v>
      </c>
      <c r="G167" s="7">
        <v>-2769275</v>
      </c>
      <c r="H167" s="7">
        <v>-2911274</v>
      </c>
      <c r="I167" s="7">
        <v>-3039663</v>
      </c>
      <c r="J167" s="7">
        <v>-1214990</v>
      </c>
      <c r="K167" s="7">
        <v>-856480</v>
      </c>
      <c r="L167" s="7">
        <v>-987686</v>
      </c>
      <c r="M167" s="7">
        <v>-1118505</v>
      </c>
      <c r="N167" s="7">
        <v>-1264131</v>
      </c>
      <c r="O167" s="7">
        <v>-1426835</v>
      </c>
      <c r="P167" s="7">
        <v>-1587154</v>
      </c>
      <c r="Q167" s="7">
        <v>-1326646</v>
      </c>
    </row>
    <row r="168" spans="4:17" ht="14.25" customHeight="1" x14ac:dyDescent="0.25">
      <c r="D168" s="5">
        <v>22361</v>
      </c>
      <c r="E168" s="9" t="s">
        <v>140</v>
      </c>
      <c r="F168" s="7">
        <v>-880146</v>
      </c>
      <c r="G168" s="7">
        <v>-966155</v>
      </c>
      <c r="H168" s="7">
        <v>-1071452</v>
      </c>
      <c r="I168" s="7">
        <v>-1151478</v>
      </c>
      <c r="J168" s="7">
        <v>-453822</v>
      </c>
      <c r="K168" s="7">
        <v>-439354</v>
      </c>
      <c r="L168" s="7">
        <v>-484711</v>
      </c>
      <c r="M168" s="7">
        <v>-546420</v>
      </c>
      <c r="N168" s="7">
        <v>-669443</v>
      </c>
      <c r="O168" s="7">
        <v>-791924</v>
      </c>
      <c r="P168" s="7">
        <v>-932952</v>
      </c>
      <c r="Q168" s="7">
        <v>-665666</v>
      </c>
    </row>
    <row r="169" spans="4:17" ht="14.25" customHeight="1" x14ac:dyDescent="0.25">
      <c r="D169" s="5">
        <v>22363</v>
      </c>
      <c r="E169" s="9" t="s">
        <v>140</v>
      </c>
      <c r="F169" s="7">
        <v>21058</v>
      </c>
      <c r="G169" s="7">
        <v>36219</v>
      </c>
      <c r="H169" s="7">
        <v>60745</v>
      </c>
      <c r="I169" s="7">
        <v>84677</v>
      </c>
      <c r="J169" s="7">
        <v>-17638</v>
      </c>
      <c r="K169" s="7">
        <v>-16288</v>
      </c>
      <c r="L169" s="7">
        <v>-29682</v>
      </c>
      <c r="M169" s="7">
        <v>-37533</v>
      </c>
      <c r="N169" s="7">
        <v>-41947</v>
      </c>
      <c r="O169" s="7">
        <v>-43006</v>
      </c>
      <c r="P169" s="7">
        <v>-67249</v>
      </c>
      <c r="Q169" s="7">
        <v>-21000</v>
      </c>
    </row>
    <row r="170" spans="4:17" ht="14.25" customHeight="1" x14ac:dyDescent="0.25">
      <c r="D170" s="5">
        <v>22370</v>
      </c>
      <c r="E170" s="9" t="s">
        <v>141</v>
      </c>
      <c r="F170" s="7">
        <v>-255955</v>
      </c>
      <c r="G170" s="7">
        <v>-317668</v>
      </c>
      <c r="H170" s="7">
        <v>-246069</v>
      </c>
      <c r="I170" s="7">
        <v>-243468</v>
      </c>
      <c r="J170" s="7">
        <v>-268681</v>
      </c>
      <c r="K170" s="7">
        <v>-136299</v>
      </c>
      <c r="L170" s="7">
        <v>-138092</v>
      </c>
      <c r="M170" s="7">
        <v>-262464</v>
      </c>
      <c r="N170" s="7">
        <v>-139986</v>
      </c>
      <c r="O170" s="7">
        <v>71331</v>
      </c>
      <c r="P170" s="7">
        <v>64766</v>
      </c>
      <c r="Q170" s="7">
        <v>-10000</v>
      </c>
    </row>
    <row r="171" spans="4:17" ht="14.25" customHeight="1" x14ac:dyDescent="0.25">
      <c r="D171" s="5">
        <v>22371</v>
      </c>
      <c r="E171" s="9" t="s">
        <v>142</v>
      </c>
      <c r="F171" s="7">
        <v>-2081522</v>
      </c>
      <c r="G171" s="7">
        <v>-2078943</v>
      </c>
      <c r="H171" s="7">
        <v>-2080060</v>
      </c>
      <c r="I171" s="7">
        <v>-2080803</v>
      </c>
      <c r="J171" s="7">
        <v>-2078483</v>
      </c>
      <c r="K171" s="7">
        <v>-2077043</v>
      </c>
      <c r="L171" s="7">
        <v>-2078926</v>
      </c>
      <c r="M171" s="7">
        <v>-2076709</v>
      </c>
      <c r="N171" s="7">
        <v>-2078943</v>
      </c>
      <c r="O171" s="7">
        <v>-2077728</v>
      </c>
      <c r="P171" s="7">
        <v>-2076337</v>
      </c>
      <c r="Q171" s="7">
        <v>-2006625</v>
      </c>
    </row>
    <row r="172" spans="4:17" ht="14.25" customHeight="1" x14ac:dyDescent="0.25">
      <c r="D172" s="5">
        <v>22375</v>
      </c>
      <c r="E172" s="9" t="s">
        <v>141</v>
      </c>
      <c r="F172" s="7">
        <v>-18151</v>
      </c>
      <c r="G172" s="7">
        <v>-9041</v>
      </c>
      <c r="H172" s="7">
        <v>-6829</v>
      </c>
      <c r="I172" s="7">
        <v>-21524</v>
      </c>
      <c r="J172" s="7">
        <v>-15521</v>
      </c>
      <c r="L172" s="7">
        <v>-66490</v>
      </c>
      <c r="M172" s="7">
        <v>-89898</v>
      </c>
      <c r="O172" s="7">
        <v>19395</v>
      </c>
      <c r="P172" s="7">
        <v>-2107</v>
      </c>
    </row>
    <row r="173" spans="4:17" ht="14.25" customHeight="1" x14ac:dyDescent="0.25">
      <c r="D173" s="5">
        <v>22376</v>
      </c>
      <c r="E173" s="9" t="s">
        <v>143</v>
      </c>
      <c r="F173" s="7">
        <v>-24389</v>
      </c>
      <c r="G173" s="7">
        <v>-18004</v>
      </c>
      <c r="H173" s="7">
        <v>-11405</v>
      </c>
      <c r="I173" s="7">
        <v>-6550</v>
      </c>
      <c r="J173" s="7">
        <v>-8343</v>
      </c>
      <c r="K173" s="7">
        <v>-13224</v>
      </c>
      <c r="L173" s="7">
        <v>-19375</v>
      </c>
      <c r="M173" s="7">
        <v>-28212</v>
      </c>
      <c r="N173" s="7">
        <v>-37195</v>
      </c>
      <c r="O173" s="7">
        <v>-45499</v>
      </c>
      <c r="P173" s="7">
        <v>-55122</v>
      </c>
      <c r="Q173" s="7">
        <v>-63586</v>
      </c>
    </row>
    <row r="174" spans="4:17" ht="14.25" customHeight="1" x14ac:dyDescent="0.25">
      <c r="D174" s="5">
        <v>22380</v>
      </c>
      <c r="E174" s="9" t="s">
        <v>144</v>
      </c>
      <c r="F174" s="7">
        <v>-390566</v>
      </c>
      <c r="G174" s="7">
        <v>-333957</v>
      </c>
      <c r="H174" s="7">
        <v>-343981</v>
      </c>
      <c r="I174" s="7">
        <v>-923048</v>
      </c>
      <c r="J174" s="7">
        <v>-937657</v>
      </c>
      <c r="K174" s="7">
        <v>-1011308</v>
      </c>
      <c r="L174" s="7">
        <v>-1044152</v>
      </c>
      <c r="M174" s="7">
        <v>-974776</v>
      </c>
      <c r="N174" s="7">
        <v>-921256</v>
      </c>
      <c r="O174" s="7">
        <v>-904273</v>
      </c>
      <c r="P174" s="7">
        <v>-749357</v>
      </c>
      <c r="Q174" s="7">
        <v>-748033</v>
      </c>
    </row>
    <row r="175" spans="4:17" ht="14.25" customHeight="1" x14ac:dyDescent="0.25">
      <c r="D175" s="5">
        <v>22385</v>
      </c>
      <c r="E175" s="9" t="s">
        <v>145</v>
      </c>
      <c r="F175" s="7">
        <v>6640</v>
      </c>
      <c r="G175" s="7">
        <v>6640</v>
      </c>
      <c r="H175" s="7">
        <v>6640</v>
      </c>
      <c r="I175" s="7">
        <v>6640</v>
      </c>
      <c r="J175" s="7">
        <v>6640</v>
      </c>
      <c r="K175" s="7">
        <v>6640</v>
      </c>
      <c r="L175" s="7">
        <v>6640</v>
      </c>
      <c r="M175" s="7">
        <v>6640</v>
      </c>
      <c r="N175" s="7">
        <v>6640</v>
      </c>
      <c r="O175" s="7">
        <v>6640</v>
      </c>
      <c r="P175" s="7">
        <v>6640</v>
      </c>
      <c r="Q175" s="7">
        <v>6640</v>
      </c>
    </row>
    <row r="176" spans="4:17" ht="14.25" customHeight="1" x14ac:dyDescent="0.25">
      <c r="D176" s="5">
        <v>22410</v>
      </c>
      <c r="E176" s="9" t="s">
        <v>146</v>
      </c>
      <c r="F176" s="7">
        <v>207248</v>
      </c>
      <c r="G176" s="7">
        <v>204932</v>
      </c>
      <c r="H176" s="7">
        <v>213407</v>
      </c>
      <c r="I176" s="7">
        <v>219106</v>
      </c>
      <c r="J176" s="7">
        <v>121446</v>
      </c>
      <c r="K176" s="7">
        <v>170040</v>
      </c>
      <c r="L176" s="7">
        <v>206399</v>
      </c>
      <c r="M176" s="7">
        <v>209349</v>
      </c>
      <c r="N176" s="7">
        <v>220156</v>
      </c>
      <c r="O176" s="7">
        <v>213507</v>
      </c>
      <c r="P176" s="7">
        <v>214098</v>
      </c>
      <c r="Q176" s="7">
        <v>189011</v>
      </c>
    </row>
    <row r="177" spans="4:17" ht="14.25" customHeight="1" x14ac:dyDescent="0.25">
      <c r="D177" s="5">
        <v>22420</v>
      </c>
      <c r="E177" s="9" t="s">
        <v>147</v>
      </c>
      <c r="F177" s="7">
        <v>-2567</v>
      </c>
      <c r="G177" s="7">
        <v>-2395</v>
      </c>
      <c r="H177" s="7">
        <v>-3140</v>
      </c>
      <c r="I177" s="9">
        <v>-21</v>
      </c>
      <c r="J177" s="7">
        <v>-1210</v>
      </c>
      <c r="K177" s="9">
        <v>-166</v>
      </c>
      <c r="L177" s="9">
        <v>-45</v>
      </c>
      <c r="M177" s="7">
        <v>8124</v>
      </c>
      <c r="N177" s="7">
        <v>6615</v>
      </c>
      <c r="O177" s="7">
        <v>3875</v>
      </c>
      <c r="P177" s="7">
        <v>3838</v>
      </c>
      <c r="Q177" s="7">
        <v>-5313</v>
      </c>
    </row>
    <row r="178" spans="4:17" ht="14.25" customHeight="1" x14ac:dyDescent="0.25">
      <c r="D178" s="5">
        <v>22450</v>
      </c>
      <c r="E178" s="9" t="s">
        <v>148</v>
      </c>
      <c r="F178" s="7">
        <v>1975</v>
      </c>
      <c r="G178" s="7">
        <v>1975</v>
      </c>
      <c r="H178" s="7">
        <v>1107</v>
      </c>
    </row>
    <row r="179" spans="4:17" ht="14.25" customHeight="1" x14ac:dyDescent="0.25">
      <c r="D179" s="5">
        <v>22460</v>
      </c>
      <c r="E179" s="9" t="s">
        <v>149</v>
      </c>
      <c r="F179" s="7">
        <v>4367</v>
      </c>
      <c r="G179" s="7">
        <v>4894</v>
      </c>
      <c r="H179" s="7">
        <v>5455</v>
      </c>
      <c r="I179" s="7">
        <v>7558</v>
      </c>
      <c r="J179" s="7">
        <v>7937</v>
      </c>
      <c r="K179" s="7">
        <v>8776</v>
      </c>
      <c r="L179" s="7">
        <v>9594</v>
      </c>
      <c r="M179" s="7">
        <v>12801</v>
      </c>
      <c r="N179" s="7">
        <v>12943</v>
      </c>
      <c r="O179" s="7">
        <v>12671</v>
      </c>
      <c r="P179" s="7">
        <v>12552</v>
      </c>
    </row>
    <row r="180" spans="4:17" ht="14.25" customHeight="1" x14ac:dyDescent="0.25">
      <c r="D180" s="5">
        <v>22470</v>
      </c>
      <c r="E180" s="9" t="s">
        <v>150</v>
      </c>
      <c r="H180" s="7">
        <v>-5678</v>
      </c>
    </row>
    <row r="181" spans="4:17" ht="14.25" customHeight="1" x14ac:dyDescent="0.25">
      <c r="D181" s="5">
        <v>22510</v>
      </c>
      <c r="E181" s="9" t="s">
        <v>151</v>
      </c>
      <c r="F181" s="7">
        <v>4380</v>
      </c>
      <c r="G181" s="7">
        <v>2902</v>
      </c>
      <c r="H181" s="7">
        <v>1269</v>
      </c>
      <c r="I181" s="7">
        <v>2347</v>
      </c>
      <c r="J181" s="7">
        <v>3172</v>
      </c>
      <c r="K181" s="9">
        <v>-61</v>
      </c>
      <c r="L181" s="7">
        <v>1850</v>
      </c>
      <c r="M181" s="7">
        <v>1433</v>
      </c>
      <c r="N181" s="7">
        <v>1792</v>
      </c>
      <c r="O181" s="7">
        <v>1263</v>
      </c>
      <c r="P181" s="7">
        <v>-5066</v>
      </c>
      <c r="Q181" s="7">
        <v>-6959</v>
      </c>
    </row>
    <row r="182" spans="4:17" ht="14.25" customHeight="1" x14ac:dyDescent="0.25">
      <c r="D182" s="5">
        <v>22520</v>
      </c>
      <c r="E182" s="9" t="s">
        <v>152</v>
      </c>
      <c r="F182" s="7">
        <v>-10527</v>
      </c>
      <c r="G182" s="7">
        <v>-30800</v>
      </c>
      <c r="H182" s="7">
        <v>38711</v>
      </c>
      <c r="I182" s="7">
        <v>39994</v>
      </c>
      <c r="J182" s="7">
        <v>-86948</v>
      </c>
      <c r="K182" s="7">
        <v>40959</v>
      </c>
      <c r="L182" s="7">
        <v>-28564</v>
      </c>
      <c r="M182" s="7">
        <v>33214</v>
      </c>
      <c r="N182" s="7">
        <v>29438</v>
      </c>
      <c r="O182" s="7">
        <v>62890</v>
      </c>
      <c r="P182" s="7">
        <v>33789</v>
      </c>
    </row>
    <row r="183" spans="4:17" ht="14.25" customHeight="1" x14ac:dyDescent="0.25">
      <c r="D183" s="5">
        <v>22530</v>
      </c>
      <c r="E183" s="9" t="s">
        <v>153</v>
      </c>
      <c r="F183" s="7">
        <v>4495</v>
      </c>
      <c r="G183" s="7">
        <v>-5270</v>
      </c>
      <c r="H183" s="7">
        <v>-2058</v>
      </c>
      <c r="I183" s="7">
        <v>-3114</v>
      </c>
      <c r="J183" s="7">
        <v>-18331</v>
      </c>
      <c r="K183" s="7">
        <v>-2322</v>
      </c>
      <c r="L183" s="7">
        <v>-7361</v>
      </c>
      <c r="M183" s="7">
        <v>-2323</v>
      </c>
      <c r="N183" s="9">
        <v>216</v>
      </c>
      <c r="O183" s="7">
        <v>7773</v>
      </c>
      <c r="P183" s="7">
        <v>4977</v>
      </c>
      <c r="Q183" s="7">
        <v>5181</v>
      </c>
    </row>
    <row r="184" spans="4:17" ht="14.25" customHeight="1" x14ac:dyDescent="0.25">
      <c r="D184" s="5">
        <v>22560</v>
      </c>
      <c r="E184" s="9" t="s">
        <v>154</v>
      </c>
      <c r="F184" s="9">
        <v>35</v>
      </c>
      <c r="G184" s="9">
        <v>966</v>
      </c>
      <c r="H184" s="7">
        <v>-3585</v>
      </c>
      <c r="I184" s="7">
        <v>1322</v>
      </c>
      <c r="J184" s="7">
        <v>-3640</v>
      </c>
      <c r="K184" s="7">
        <v>-3934</v>
      </c>
      <c r="L184" s="7">
        <v>-5687</v>
      </c>
      <c r="M184" s="9">
        <v>-403</v>
      </c>
      <c r="N184" s="7">
        <v>4906</v>
      </c>
      <c r="O184" s="7">
        <v>6087</v>
      </c>
      <c r="P184" s="7">
        <v>-1885</v>
      </c>
      <c r="Q184" s="7">
        <v>9235</v>
      </c>
    </row>
    <row r="185" spans="4:17" ht="14.25" customHeight="1" x14ac:dyDescent="0.25">
      <c r="D185" s="5">
        <v>22570</v>
      </c>
      <c r="E185" s="9" t="s">
        <v>155</v>
      </c>
      <c r="F185" s="7">
        <v>-8438</v>
      </c>
      <c r="G185" s="7">
        <v>-13517</v>
      </c>
      <c r="H185" s="7">
        <v>-18553</v>
      </c>
      <c r="I185" s="7">
        <v>-23622</v>
      </c>
      <c r="J185" s="7">
        <v>-28733</v>
      </c>
      <c r="K185" s="7">
        <v>-32019</v>
      </c>
      <c r="L185" s="7">
        <v>-35305</v>
      </c>
      <c r="M185" s="7">
        <v>-38616</v>
      </c>
      <c r="N185" s="7">
        <v>13047</v>
      </c>
      <c r="O185" s="7">
        <v>-2318</v>
      </c>
      <c r="P185" s="7">
        <v>-5471</v>
      </c>
      <c r="Q185" s="7">
        <v>-8586</v>
      </c>
    </row>
    <row r="186" spans="4:17" ht="14.25" customHeight="1" x14ac:dyDescent="0.25">
      <c r="D186" s="5">
        <v>22580</v>
      </c>
      <c r="E186" s="9" t="s">
        <v>156</v>
      </c>
      <c r="F186" s="9">
        <v>-447</v>
      </c>
      <c r="G186" s="9">
        <v>-672</v>
      </c>
      <c r="H186" s="7">
        <v>-1959</v>
      </c>
      <c r="I186" s="7">
        <v>-2599</v>
      </c>
      <c r="J186" s="7">
        <v>7846</v>
      </c>
      <c r="K186" s="7">
        <v>7399</v>
      </c>
      <c r="L186" s="7">
        <v>-6208</v>
      </c>
      <c r="M186" s="7">
        <v>-20774</v>
      </c>
      <c r="N186" s="7">
        <v>-23227</v>
      </c>
      <c r="O186" s="7">
        <v>-27696</v>
      </c>
      <c r="P186" s="7">
        <v>-31484</v>
      </c>
      <c r="Q186" s="7">
        <v>-19779</v>
      </c>
    </row>
    <row r="187" spans="4:17" ht="14.25" customHeight="1" x14ac:dyDescent="0.25">
      <c r="D187" s="5">
        <v>22590</v>
      </c>
      <c r="E187" s="9" t="s">
        <v>157</v>
      </c>
      <c r="F187" s="7">
        <v>-1293</v>
      </c>
      <c r="G187" s="7">
        <v>-1939</v>
      </c>
      <c r="H187" s="7">
        <v>-2613</v>
      </c>
      <c r="I187" s="9">
        <v>-674</v>
      </c>
      <c r="J187" s="7">
        <v>-1347</v>
      </c>
      <c r="K187" s="7">
        <v>-1994</v>
      </c>
      <c r="L187" s="7">
        <v>-2640</v>
      </c>
      <c r="M187" s="9">
        <v>-528</v>
      </c>
      <c r="N187" s="7">
        <v>-1175</v>
      </c>
      <c r="O187" s="7">
        <v>-1661</v>
      </c>
      <c r="P187" s="7">
        <v>-2281</v>
      </c>
    </row>
    <row r="188" spans="4:17" ht="14.25" customHeight="1" x14ac:dyDescent="0.25">
      <c r="D188" s="5">
        <v>22600</v>
      </c>
      <c r="E188" s="9" t="s">
        <v>158</v>
      </c>
      <c r="F188" s="7">
        <v>-882355</v>
      </c>
      <c r="G188" s="7">
        <v>-923788</v>
      </c>
      <c r="H188" s="7">
        <v>-1270548</v>
      </c>
      <c r="I188" s="7">
        <v>-1323714</v>
      </c>
      <c r="J188" s="7">
        <v>-1076039</v>
      </c>
      <c r="K188" s="7">
        <v>-968241</v>
      </c>
      <c r="L188" s="7">
        <v>-1099224</v>
      </c>
      <c r="M188" s="7">
        <v>-1030852</v>
      </c>
      <c r="N188" s="7">
        <v>-1597873</v>
      </c>
      <c r="O188" s="7">
        <v>-1798116</v>
      </c>
      <c r="P188" s="7">
        <v>-1282542</v>
      </c>
      <c r="Q188" s="7">
        <v>-3373561</v>
      </c>
    </row>
    <row r="189" spans="4:17" ht="14.25" customHeight="1" x14ac:dyDescent="0.25">
      <c r="D189" s="5">
        <v>22601</v>
      </c>
      <c r="E189" s="9" t="s">
        <v>159</v>
      </c>
      <c r="F189" s="7">
        <v>-626496</v>
      </c>
      <c r="G189" s="7">
        <v>-739643</v>
      </c>
      <c r="H189" s="7">
        <v>80770</v>
      </c>
      <c r="I189" s="7">
        <v>88520</v>
      </c>
      <c r="J189" s="7">
        <v>47340</v>
      </c>
      <c r="K189" s="7">
        <v>184777</v>
      </c>
      <c r="L189" s="7">
        <v>96274</v>
      </c>
      <c r="M189" s="7">
        <v>-35779</v>
      </c>
      <c r="N189" s="7">
        <v>-127959</v>
      </c>
      <c r="O189" s="7">
        <v>-185619</v>
      </c>
      <c r="P189" s="7">
        <v>-217508</v>
      </c>
      <c r="Q189" s="7">
        <v>462690</v>
      </c>
    </row>
    <row r="190" spans="4:17" ht="14.25" customHeight="1" x14ac:dyDescent="0.25">
      <c r="D190" s="5">
        <v>22602</v>
      </c>
      <c r="E190" s="9" t="s">
        <v>160</v>
      </c>
      <c r="F190" s="7">
        <v>37241</v>
      </c>
      <c r="G190" s="7">
        <v>37466</v>
      </c>
      <c r="H190" s="7">
        <v>39131</v>
      </c>
      <c r="I190" s="7">
        <v>42771</v>
      </c>
      <c r="J190" s="7">
        <v>42457</v>
      </c>
      <c r="K190" s="7">
        <v>41951</v>
      </c>
      <c r="L190" s="7">
        <v>42859</v>
      </c>
      <c r="M190" s="7">
        <v>42960</v>
      </c>
      <c r="N190" s="7">
        <v>45116</v>
      </c>
      <c r="O190" s="7">
        <v>43763</v>
      </c>
      <c r="P190" s="7">
        <v>52626</v>
      </c>
      <c r="Q190" s="7">
        <v>34038</v>
      </c>
    </row>
    <row r="191" spans="4:17" ht="14.25" customHeight="1" x14ac:dyDescent="0.25">
      <c r="D191" s="5">
        <v>22610</v>
      </c>
      <c r="E191" s="9" t="s">
        <v>161</v>
      </c>
      <c r="F191" s="7">
        <v>-380391</v>
      </c>
      <c r="G191" s="7">
        <v>-470672</v>
      </c>
      <c r="H191" s="7">
        <v>-591091</v>
      </c>
      <c r="I191" s="7">
        <v>-703664</v>
      </c>
      <c r="J191" s="7">
        <v>-822712</v>
      </c>
      <c r="K191" s="7">
        <v>-665766</v>
      </c>
      <c r="L191" s="7">
        <v>-495721</v>
      </c>
      <c r="M191" s="7">
        <v>-643857</v>
      </c>
      <c r="N191" s="7">
        <v>-981088</v>
      </c>
      <c r="O191" s="7">
        <v>-1318149</v>
      </c>
      <c r="P191" s="7">
        <v>-1118454</v>
      </c>
      <c r="Q191" s="7">
        <v>-1684170</v>
      </c>
    </row>
    <row r="192" spans="4:17" ht="14.25" customHeight="1" x14ac:dyDescent="0.25">
      <c r="D192" s="5">
        <v>22620</v>
      </c>
      <c r="E192" s="9" t="s">
        <v>162</v>
      </c>
      <c r="F192" s="9">
        <v>-108</v>
      </c>
      <c r="G192" s="9">
        <v>-106</v>
      </c>
      <c r="H192" s="9">
        <v>-111</v>
      </c>
      <c r="I192" s="9">
        <v>-113</v>
      </c>
      <c r="J192" s="9">
        <v>-108</v>
      </c>
      <c r="K192" s="9">
        <v>-104</v>
      </c>
      <c r="L192" s="9">
        <v>-107</v>
      </c>
      <c r="M192" s="9">
        <v>-103</v>
      </c>
      <c r="N192" s="9">
        <v>-105</v>
      </c>
      <c r="O192" s="9">
        <v>-106</v>
      </c>
      <c r="P192" s="9">
        <v>-105</v>
      </c>
      <c r="Q192" s="9">
        <v>-105</v>
      </c>
    </row>
    <row r="193" spans="4:17" ht="14.25" customHeight="1" x14ac:dyDescent="0.25">
      <c r="D193" s="5">
        <v>22640</v>
      </c>
      <c r="E193" s="9" t="s">
        <v>163</v>
      </c>
      <c r="Q193" s="7">
        <v>-9833333</v>
      </c>
    </row>
    <row r="194" spans="4:17" ht="14.25" customHeight="1" x14ac:dyDescent="0.25">
      <c r="D194" s="5">
        <v>22710</v>
      </c>
      <c r="E194" s="9" t="s">
        <v>164</v>
      </c>
      <c r="F194" s="7">
        <v>-10671611</v>
      </c>
      <c r="G194" s="7">
        <v>-14864184</v>
      </c>
      <c r="H194" s="7">
        <v>-20044369</v>
      </c>
      <c r="I194" s="7">
        <v>-22031127</v>
      </c>
      <c r="J194" s="7">
        <v>-26542386</v>
      </c>
      <c r="K194" s="7">
        <v>-17772375</v>
      </c>
      <c r="L194" s="7">
        <v>-22209930</v>
      </c>
      <c r="M194" s="7">
        <v>-26918948</v>
      </c>
      <c r="N194" s="7">
        <v>-20923646</v>
      </c>
      <c r="O194" s="7">
        <v>-25687046</v>
      </c>
      <c r="P194" s="7">
        <v>-24370559</v>
      </c>
      <c r="Q194" s="7">
        <v>5095457</v>
      </c>
    </row>
    <row r="195" spans="4:17" ht="14.25" customHeight="1" x14ac:dyDescent="0.25">
      <c r="D195" s="5">
        <v>22720</v>
      </c>
      <c r="E195" s="9" t="s">
        <v>165</v>
      </c>
      <c r="F195" s="7">
        <v>2791681</v>
      </c>
      <c r="G195" s="7">
        <v>2647239</v>
      </c>
      <c r="H195" s="7">
        <v>3230516</v>
      </c>
      <c r="I195" s="7">
        <v>3187119</v>
      </c>
      <c r="J195" s="7">
        <v>5141949</v>
      </c>
      <c r="K195" s="7">
        <v>5037299</v>
      </c>
      <c r="L195" s="7">
        <v>5151807</v>
      </c>
      <c r="M195" s="7">
        <v>5329554</v>
      </c>
      <c r="N195" s="7">
        <v>5439495</v>
      </c>
      <c r="O195" s="7">
        <v>5473174</v>
      </c>
      <c r="P195" s="7">
        <v>5884351</v>
      </c>
      <c r="Q195" s="7">
        <v>4799317</v>
      </c>
    </row>
    <row r="196" spans="4:17" ht="14.25" customHeight="1" x14ac:dyDescent="0.25">
      <c r="D196" s="5">
        <v>22820</v>
      </c>
      <c r="E196" s="9" t="s">
        <v>166</v>
      </c>
      <c r="Q196" s="7">
        <v>-3250000</v>
      </c>
    </row>
    <row r="197" spans="4:17" ht="14.25" customHeight="1" x14ac:dyDescent="0.25">
      <c r="D197" s="5">
        <v>22821</v>
      </c>
      <c r="E197" s="9" t="s">
        <v>166</v>
      </c>
      <c r="Q197" s="7">
        <v>-8850000</v>
      </c>
    </row>
    <row r="198" spans="4:17" ht="14.25" customHeight="1" x14ac:dyDescent="0.25">
      <c r="D198" s="5">
        <v>22837</v>
      </c>
      <c r="E198" s="9" t="s">
        <v>166</v>
      </c>
      <c r="F198" s="7">
        <v>-73103</v>
      </c>
      <c r="G198" s="7">
        <v>-73103</v>
      </c>
      <c r="H198" s="7">
        <v>-73103</v>
      </c>
      <c r="I198" s="7">
        <v>-73103</v>
      </c>
      <c r="J198" s="7">
        <v>-73103</v>
      </c>
      <c r="K198" s="7">
        <v>-73103</v>
      </c>
      <c r="L198" s="7">
        <v>-73103</v>
      </c>
      <c r="M198" s="7">
        <v>-73103</v>
      </c>
      <c r="N198" s="7">
        <v>-73103</v>
      </c>
      <c r="O198" s="7">
        <v>-73103</v>
      </c>
      <c r="P198" s="7">
        <v>-73103</v>
      </c>
      <c r="Q198" s="7">
        <v>-73103</v>
      </c>
    </row>
    <row r="199" spans="4:17" ht="14.25" customHeight="1" x14ac:dyDescent="0.25">
      <c r="D199" s="5">
        <v>22840</v>
      </c>
      <c r="E199" s="9" t="s">
        <v>166</v>
      </c>
      <c r="F199" s="7">
        <v>-2431110</v>
      </c>
      <c r="G199" s="7">
        <v>-2431110</v>
      </c>
      <c r="H199" s="7">
        <v>-2431110</v>
      </c>
      <c r="I199" s="7">
        <v>-2431110</v>
      </c>
      <c r="J199" s="7">
        <v>-2431110</v>
      </c>
      <c r="K199" s="7">
        <v>-2431110</v>
      </c>
      <c r="L199" s="7">
        <v>-2431110</v>
      </c>
      <c r="M199" s="7">
        <v>-2431110</v>
      </c>
      <c r="N199" s="7">
        <v>-2431110</v>
      </c>
      <c r="O199" s="7">
        <v>-2431110</v>
      </c>
      <c r="P199" s="7">
        <v>-2431110</v>
      </c>
      <c r="Q199" s="7">
        <v>-3513911</v>
      </c>
    </row>
    <row r="200" spans="4:17" ht="14.25" customHeight="1" x14ac:dyDescent="0.25">
      <c r="D200" s="5">
        <v>22965</v>
      </c>
      <c r="E200" s="9" t="s">
        <v>167</v>
      </c>
      <c r="I200" s="7">
        <v>-733234</v>
      </c>
      <c r="J200" s="7">
        <v>-723105</v>
      </c>
      <c r="K200" s="7">
        <v>-724267</v>
      </c>
      <c r="L200" s="7">
        <v>-740083</v>
      </c>
      <c r="M200" s="7">
        <v>-1097408</v>
      </c>
      <c r="N200" s="7">
        <v>-1121510</v>
      </c>
    </row>
    <row r="201" spans="4:17" ht="14.25" customHeight="1" x14ac:dyDescent="0.25">
      <c r="D201" s="5">
        <v>23100</v>
      </c>
      <c r="E201" s="9" t="s">
        <v>168</v>
      </c>
      <c r="F201" s="7">
        <v>-830005</v>
      </c>
      <c r="G201" s="7">
        <v>-830005</v>
      </c>
      <c r="H201" s="7">
        <v>-899184</v>
      </c>
      <c r="I201" s="7">
        <v>-25899184</v>
      </c>
      <c r="J201" s="7">
        <v>-899184</v>
      </c>
      <c r="K201" s="7">
        <v>-50899184</v>
      </c>
      <c r="L201" s="7">
        <v>-32899184</v>
      </c>
      <c r="M201" s="7">
        <v>-27835436</v>
      </c>
      <c r="N201" s="7">
        <v>-46294843</v>
      </c>
      <c r="O201" s="7">
        <v>-36294843</v>
      </c>
      <c r="P201" s="7">
        <v>-31294843</v>
      </c>
      <c r="Q201" s="7">
        <v>-42648991</v>
      </c>
    </row>
    <row r="202" spans="4:17" ht="14.25" customHeight="1" x14ac:dyDescent="0.25">
      <c r="D202" s="5">
        <v>23120</v>
      </c>
      <c r="E202" s="9" t="s">
        <v>169</v>
      </c>
      <c r="F202" s="7">
        <v>-815000000</v>
      </c>
      <c r="G202" s="7">
        <v>-815000000</v>
      </c>
      <c r="H202" s="7">
        <v>-815000000</v>
      </c>
      <c r="I202" s="7">
        <v>-815000000</v>
      </c>
      <c r="J202" s="7">
        <v>-815000000</v>
      </c>
      <c r="K202" s="7">
        <v>-837885000</v>
      </c>
      <c r="L202" s="7">
        <v>-837885000</v>
      </c>
      <c r="M202" s="7">
        <v>-837885000</v>
      </c>
      <c r="N202" s="7">
        <v>-323375000</v>
      </c>
      <c r="O202" s="7">
        <v>-323375000</v>
      </c>
      <c r="P202" s="7">
        <v>-323375000</v>
      </c>
      <c r="Q202" s="7">
        <v>-319463663</v>
      </c>
    </row>
    <row r="203" spans="4:17" ht="14.25" customHeight="1" x14ac:dyDescent="0.25">
      <c r="D203" s="5">
        <v>23121</v>
      </c>
      <c r="E203" s="9" t="s">
        <v>169</v>
      </c>
      <c r="N203" s="7">
        <v>-880575000</v>
      </c>
      <c r="O203" s="7">
        <v>-880575000</v>
      </c>
      <c r="P203" s="7">
        <v>-880575000</v>
      </c>
      <c r="Q203" s="7">
        <v>-869754966</v>
      </c>
    </row>
    <row r="204" spans="4:17" ht="14.25" customHeight="1" x14ac:dyDescent="0.25">
      <c r="D204" s="5">
        <v>23127</v>
      </c>
      <c r="E204" s="9" t="s">
        <v>170</v>
      </c>
      <c r="F204" s="7">
        <v>-10000000</v>
      </c>
      <c r="G204" s="7">
        <v>-10000000</v>
      </c>
      <c r="H204" s="7">
        <v>-10000000</v>
      </c>
      <c r="I204" s="7">
        <v>-10000000</v>
      </c>
      <c r="J204" s="7">
        <v>-10000000</v>
      </c>
      <c r="K204" s="7">
        <v>-10000000</v>
      </c>
      <c r="L204" s="7">
        <v>-10000000</v>
      </c>
      <c r="M204" s="7">
        <v>-10000000</v>
      </c>
      <c r="N204" s="7">
        <v>-10000000</v>
      </c>
      <c r="O204" s="7">
        <v>-10000000</v>
      </c>
      <c r="P204" s="7">
        <v>-10000000</v>
      </c>
      <c r="Q204" s="7">
        <v>-10000000</v>
      </c>
    </row>
    <row r="205" spans="4:17" ht="14.25" customHeight="1" x14ac:dyDescent="0.25">
      <c r="D205" s="5">
        <v>23137</v>
      </c>
      <c r="E205" s="9" t="s">
        <v>171</v>
      </c>
      <c r="F205" s="7">
        <v>-126006</v>
      </c>
      <c r="G205" s="7">
        <v>-126006</v>
      </c>
      <c r="H205" s="7">
        <v>-52903</v>
      </c>
      <c r="I205" s="7">
        <v>-52903</v>
      </c>
      <c r="J205" s="7">
        <v>-52903</v>
      </c>
      <c r="K205" s="7">
        <v>-52903</v>
      </c>
      <c r="L205" s="7">
        <v>-52903</v>
      </c>
      <c r="M205" s="7">
        <v>-52903</v>
      </c>
      <c r="N205" s="7">
        <v>-52903</v>
      </c>
      <c r="O205" s="7">
        <v>-52903</v>
      </c>
      <c r="P205" s="7">
        <v>-52903</v>
      </c>
      <c r="Q205" s="7">
        <v>-52903</v>
      </c>
    </row>
    <row r="206" spans="4:17" ht="14.25" customHeight="1" x14ac:dyDescent="0.25">
      <c r="D206" s="5">
        <v>23140</v>
      </c>
      <c r="E206" s="9" t="s">
        <v>172</v>
      </c>
      <c r="F206" s="7">
        <v>-2785561</v>
      </c>
      <c r="G206" s="7">
        <v>-2851208</v>
      </c>
      <c r="H206" s="7">
        <v>-3737668</v>
      </c>
      <c r="I206" s="7">
        <v>-3472157</v>
      </c>
      <c r="J206" s="7">
        <v>-4066546</v>
      </c>
      <c r="K206" s="7">
        <v>-4668473</v>
      </c>
      <c r="L206" s="7">
        <v>-5069482</v>
      </c>
      <c r="M206" s="7">
        <v>-5647247</v>
      </c>
      <c r="N206" s="7">
        <v>-5738881</v>
      </c>
      <c r="O206" s="7">
        <v>-5433757</v>
      </c>
      <c r="P206" s="7">
        <v>-5131206</v>
      </c>
      <c r="Q206" s="7">
        <v>-4537802</v>
      </c>
    </row>
    <row r="207" spans="4:17" ht="14.25" customHeight="1" x14ac:dyDescent="0.25">
      <c r="D207" s="5">
        <v>23160</v>
      </c>
      <c r="E207" s="9" t="s">
        <v>173</v>
      </c>
      <c r="F207" s="7">
        <v>-39401134</v>
      </c>
      <c r="G207" s="7">
        <v>-39395917</v>
      </c>
      <c r="H207" s="7">
        <v>-39393414</v>
      </c>
      <c r="I207" s="7">
        <v>-37896882</v>
      </c>
      <c r="J207" s="7">
        <v>-37894968</v>
      </c>
      <c r="K207" s="7">
        <v>-37895187</v>
      </c>
      <c r="L207" s="7">
        <v>-37898177</v>
      </c>
      <c r="M207" s="7">
        <v>-37897109</v>
      </c>
      <c r="N207" s="7">
        <v>-37900648</v>
      </c>
      <c r="O207" s="7">
        <v>-37901315</v>
      </c>
      <c r="P207" s="7">
        <v>-37901393</v>
      </c>
      <c r="Q207" s="7">
        <v>-50898097</v>
      </c>
    </row>
    <row r="208" spans="4:17" ht="14.25" customHeight="1" x14ac:dyDescent="0.25">
      <c r="D208" s="5">
        <v>23165</v>
      </c>
      <c r="E208" s="9" t="s">
        <v>174</v>
      </c>
      <c r="F208" s="7">
        <v>-4766531</v>
      </c>
      <c r="G208" s="7">
        <v>-4766531</v>
      </c>
      <c r="H208" s="7">
        <v>-4766531</v>
      </c>
      <c r="I208" s="7">
        <v>-4766531</v>
      </c>
      <c r="J208" s="7">
        <v>-4766531</v>
      </c>
      <c r="K208" s="7">
        <v>-4766531</v>
      </c>
      <c r="L208" s="7">
        <v>-4766531</v>
      </c>
      <c r="M208" s="7">
        <v>-4483761</v>
      </c>
      <c r="N208" s="7">
        <v>-4483761</v>
      </c>
      <c r="O208" s="7">
        <v>-4483761</v>
      </c>
      <c r="P208" s="7">
        <v>-4483761</v>
      </c>
      <c r="Q208" s="7">
        <v>-4706376</v>
      </c>
    </row>
    <row r="209" spans="4:17" ht="14.25" customHeight="1" x14ac:dyDescent="0.25">
      <c r="D209" s="5">
        <v>23170</v>
      </c>
      <c r="E209" s="9" t="s">
        <v>175</v>
      </c>
      <c r="F209" s="7">
        <v>-4109951</v>
      </c>
      <c r="G209" s="7">
        <v>-4109951</v>
      </c>
      <c r="H209" s="7">
        <v>-4109951</v>
      </c>
      <c r="I209" s="7">
        <v>-4109951</v>
      </c>
      <c r="J209" s="7">
        <v>-4062231</v>
      </c>
      <c r="K209" s="7">
        <v>-4014511</v>
      </c>
      <c r="L209" s="7">
        <v>-3966791</v>
      </c>
      <c r="M209" s="7">
        <v>-3919071</v>
      </c>
      <c r="N209" s="7">
        <v>-3871351</v>
      </c>
      <c r="O209" s="7">
        <v>-3823631</v>
      </c>
      <c r="P209" s="7">
        <v>-3775911</v>
      </c>
      <c r="Q209" s="7">
        <v>-3920067</v>
      </c>
    </row>
    <row r="210" spans="4:17" ht="14.25" customHeight="1" x14ac:dyDescent="0.25">
      <c r="D210" s="5">
        <v>23175</v>
      </c>
      <c r="E210" s="9" t="s">
        <v>176</v>
      </c>
      <c r="F210" s="7">
        <v>-470589</v>
      </c>
      <c r="G210" s="7">
        <v>-470589</v>
      </c>
      <c r="H210" s="7">
        <v>-470589</v>
      </c>
      <c r="I210" s="7">
        <v>-470589</v>
      </c>
      <c r="J210" s="7">
        <v>-470589</v>
      </c>
      <c r="K210" s="7">
        <v>-470589</v>
      </c>
      <c r="L210" s="7">
        <v>-470589</v>
      </c>
      <c r="M210" s="7">
        <v>-470589</v>
      </c>
      <c r="N210" s="7">
        <v>-470589</v>
      </c>
      <c r="O210" s="7">
        <v>-470589</v>
      </c>
      <c r="P210" s="7">
        <v>-470589</v>
      </c>
      <c r="Q210" s="7">
        <v>-470589</v>
      </c>
    </row>
    <row r="211" spans="4:17" ht="14.25" customHeight="1" x14ac:dyDescent="0.25">
      <c r="D211" s="5">
        <v>23240</v>
      </c>
      <c r="E211" s="9" t="s">
        <v>177</v>
      </c>
      <c r="F211" s="7">
        <v>-2463927</v>
      </c>
      <c r="G211" s="7">
        <v>-2463927</v>
      </c>
      <c r="H211" s="7">
        <v>-2463927</v>
      </c>
      <c r="I211" s="7">
        <v>-2417089</v>
      </c>
      <c r="J211" s="7">
        <v>-2327537</v>
      </c>
      <c r="K211" s="7">
        <v>-2327537</v>
      </c>
      <c r="L211" s="7">
        <v>-2280699</v>
      </c>
      <c r="M211" s="7">
        <v>-2280699</v>
      </c>
      <c r="N211" s="7">
        <v>-2280699</v>
      </c>
      <c r="O211" s="7">
        <v>-2233879</v>
      </c>
      <c r="P211" s="7">
        <v>-2233879</v>
      </c>
      <c r="Q211" s="7">
        <v>-927727</v>
      </c>
    </row>
    <row r="212" spans="4:17" ht="14.25" customHeight="1" x14ac:dyDescent="0.25">
      <c r="D212" s="5">
        <v>23250</v>
      </c>
      <c r="E212" s="9" t="s">
        <v>177</v>
      </c>
      <c r="F212" s="7">
        <v>-2701945</v>
      </c>
      <c r="G212" s="7">
        <v>-2701945</v>
      </c>
      <c r="H212" s="7">
        <v>-2701945</v>
      </c>
      <c r="I212" s="7">
        <v>-2701945</v>
      </c>
      <c r="J212" s="7">
        <v>-2702444</v>
      </c>
      <c r="K212" s="7">
        <v>-3040564</v>
      </c>
      <c r="L212" s="7">
        <v>-3044664</v>
      </c>
      <c r="M212" s="7">
        <v>-3048259</v>
      </c>
      <c r="N212" s="7">
        <v>-3053846</v>
      </c>
      <c r="O212" s="7">
        <v>-3061417</v>
      </c>
      <c r="P212" s="7">
        <v>-3061417</v>
      </c>
      <c r="Q212" s="7">
        <v>-3208597</v>
      </c>
    </row>
    <row r="213" spans="4:17" ht="14.25" customHeight="1" x14ac:dyDescent="0.25">
      <c r="D213" s="5">
        <v>23260</v>
      </c>
      <c r="E213" s="9" t="s">
        <v>178</v>
      </c>
      <c r="F213" s="7">
        <v>-8737687</v>
      </c>
      <c r="G213" s="7">
        <v>-8737687</v>
      </c>
      <c r="H213" s="7">
        <v>-8105143</v>
      </c>
      <c r="I213" s="7">
        <v>-8105143</v>
      </c>
      <c r="J213" s="7">
        <v>-8105143</v>
      </c>
      <c r="K213" s="7">
        <v>-6642026</v>
      </c>
      <c r="L213" s="7">
        <v>-6642026</v>
      </c>
      <c r="M213" s="7">
        <v>-6642026</v>
      </c>
      <c r="N213" s="7">
        <v>-6219044</v>
      </c>
      <c r="O213" s="7">
        <v>-6219044</v>
      </c>
      <c r="P213" s="7">
        <v>-6219044</v>
      </c>
      <c r="Q213" s="7">
        <v>-5637230</v>
      </c>
    </row>
    <row r="214" spans="4:17" ht="14.25" customHeight="1" x14ac:dyDescent="0.25">
      <c r="D214" s="5">
        <v>23300</v>
      </c>
      <c r="E214" s="9" t="s">
        <v>104</v>
      </c>
      <c r="F214" s="7">
        <v>-12535</v>
      </c>
      <c r="G214" s="7">
        <v>-12306</v>
      </c>
      <c r="H214" s="7">
        <v>-12197</v>
      </c>
      <c r="I214" s="7">
        <v>-12349</v>
      </c>
      <c r="J214" s="7">
        <v>-12265</v>
      </c>
      <c r="K214" s="7">
        <v>-5993</v>
      </c>
      <c r="L214" s="7">
        <v>-6124</v>
      </c>
      <c r="M214" s="7">
        <v>-6077</v>
      </c>
      <c r="N214" s="7">
        <v>-6232</v>
      </c>
      <c r="O214" s="7">
        <v>-6261</v>
      </c>
      <c r="P214" s="7">
        <v>-6265</v>
      </c>
      <c r="Q214" s="7">
        <v>-6343</v>
      </c>
    </row>
    <row r="215" spans="4:17" ht="14.25" customHeight="1" x14ac:dyDescent="0.25">
      <c r="D215" s="5">
        <v>23400</v>
      </c>
      <c r="E215" s="9" t="s">
        <v>179</v>
      </c>
      <c r="F215" s="7">
        <v>-399265</v>
      </c>
      <c r="G215" s="7">
        <v>-388210</v>
      </c>
      <c r="H215" s="7">
        <v>-407729</v>
      </c>
      <c r="I215" s="7">
        <v>-379402</v>
      </c>
      <c r="J215" s="7">
        <v>-393373</v>
      </c>
      <c r="K215" s="7">
        <v>-445832</v>
      </c>
      <c r="L215" s="7">
        <v>-419078</v>
      </c>
      <c r="M215" s="7">
        <v>-439911</v>
      </c>
      <c r="N215" s="7">
        <v>-447743</v>
      </c>
      <c r="O215" s="7">
        <v>-429883</v>
      </c>
      <c r="P215" s="7">
        <v>-443938</v>
      </c>
      <c r="Q215" s="7">
        <v>-257605</v>
      </c>
    </row>
    <row r="216" spans="4:17" ht="14.25" customHeight="1" x14ac:dyDescent="0.25">
      <c r="D216" s="5">
        <v>23600</v>
      </c>
      <c r="E216" s="9" t="s">
        <v>180</v>
      </c>
      <c r="F216" s="7">
        <v>31714</v>
      </c>
      <c r="G216" s="7">
        <v>31714</v>
      </c>
      <c r="H216" s="7">
        <v>31714</v>
      </c>
      <c r="I216" s="7">
        <v>31714</v>
      </c>
      <c r="J216" s="7">
        <v>31714</v>
      </c>
      <c r="K216" s="7">
        <v>31714</v>
      </c>
      <c r="L216" s="7">
        <v>31714</v>
      </c>
      <c r="M216" s="7">
        <v>31714</v>
      </c>
      <c r="N216" s="7">
        <v>31714</v>
      </c>
      <c r="O216" s="7">
        <v>31714</v>
      </c>
      <c r="P216" s="7">
        <v>31714</v>
      </c>
      <c r="Q216" s="7">
        <v>31714</v>
      </c>
    </row>
    <row r="217" spans="4:17" ht="14.25" customHeight="1" x14ac:dyDescent="0.25">
      <c r="D217" s="5">
        <v>23700</v>
      </c>
      <c r="E217" s="9" t="s">
        <v>181</v>
      </c>
      <c r="F217" s="9">
        <v>9</v>
      </c>
      <c r="G217" s="9">
        <v>9</v>
      </c>
      <c r="H217" s="9">
        <v>9</v>
      </c>
      <c r="I217" s="9">
        <v>9</v>
      </c>
      <c r="J217" s="9">
        <v>9</v>
      </c>
    </row>
    <row r="218" spans="4:17" ht="14.25" customHeight="1" x14ac:dyDescent="0.25">
      <c r="D218" s="5">
        <v>23800</v>
      </c>
      <c r="E218" s="9" t="s">
        <v>182</v>
      </c>
      <c r="F218" s="7">
        <v>-2900680</v>
      </c>
      <c r="G218" s="7">
        <v>-2900680</v>
      </c>
      <c r="H218" s="7">
        <v>-2900680</v>
      </c>
      <c r="I218" s="7">
        <v>-2900680</v>
      </c>
      <c r="J218" s="7">
        <v>-2900680</v>
      </c>
      <c r="K218" s="7">
        <v>-2900680</v>
      </c>
      <c r="L218" s="7">
        <v>-2900680</v>
      </c>
      <c r="M218" s="7">
        <v>-2900680</v>
      </c>
      <c r="N218" s="7">
        <v>-2900680</v>
      </c>
      <c r="O218" s="7">
        <v>-2900680</v>
      </c>
      <c r="P218" s="7">
        <v>-2900680</v>
      </c>
      <c r="Q218" s="7">
        <v>-2680250</v>
      </c>
    </row>
    <row r="219" spans="4:17" ht="14.25" customHeight="1" x14ac:dyDescent="0.25">
      <c r="D219" s="5">
        <v>28100</v>
      </c>
      <c r="E219" s="9" t="s">
        <v>181</v>
      </c>
      <c r="F219" s="7">
        <v>-3399621</v>
      </c>
      <c r="G219" s="7">
        <v>-3401251</v>
      </c>
      <c r="H219" s="7">
        <v>-3407098</v>
      </c>
      <c r="I219" s="7">
        <v>-3466844</v>
      </c>
      <c r="J219" s="7">
        <v>-3572043</v>
      </c>
      <c r="K219" s="7">
        <v>-3622737</v>
      </c>
      <c r="L219" s="7">
        <v>-3688670</v>
      </c>
      <c r="M219" s="7">
        <v>-3836226</v>
      </c>
      <c r="N219" s="7">
        <v>-3891803</v>
      </c>
      <c r="O219" s="7">
        <v>-3678372</v>
      </c>
      <c r="P219" s="7">
        <v>-3853206</v>
      </c>
      <c r="Q219" s="7">
        <v>-3020736</v>
      </c>
    </row>
    <row r="220" spans="4:17" ht="14.25" customHeight="1" x14ac:dyDescent="0.25">
      <c r="D220" s="5">
        <v>29110</v>
      </c>
      <c r="E220" s="9" t="s">
        <v>183</v>
      </c>
      <c r="F220" s="7">
        <v>-103882</v>
      </c>
      <c r="G220" s="7">
        <v>-103882</v>
      </c>
      <c r="H220" s="7">
        <v>-103882</v>
      </c>
      <c r="I220" s="7">
        <v>-103882</v>
      </c>
      <c r="J220" s="7">
        <v>-103960</v>
      </c>
      <c r="K220" s="7">
        <v>-103963</v>
      </c>
      <c r="L220" s="7">
        <v>-103963</v>
      </c>
      <c r="M220" s="7">
        <v>-103963</v>
      </c>
      <c r="N220" s="7">
        <v>-103963</v>
      </c>
      <c r="O220" s="7">
        <v>-103963</v>
      </c>
      <c r="P220" s="7">
        <v>-104068</v>
      </c>
      <c r="Q220" s="7">
        <v>-104102</v>
      </c>
    </row>
    <row r="221" spans="4:17" ht="14.25" customHeight="1" x14ac:dyDescent="0.25">
      <c r="D221" s="5">
        <v>29120</v>
      </c>
      <c r="E221" s="9" t="s">
        <v>184</v>
      </c>
      <c r="F221" s="7">
        <v>-713277478</v>
      </c>
      <c r="G221" s="7">
        <v>-713277478</v>
      </c>
      <c r="H221" s="7">
        <v>-713277478</v>
      </c>
      <c r="I221" s="7">
        <v>-713277478</v>
      </c>
      <c r="J221" s="7">
        <v>-713760653</v>
      </c>
      <c r="K221" s="7">
        <v>-713773960</v>
      </c>
      <c r="L221" s="7">
        <v>-713773960</v>
      </c>
      <c r="M221" s="7">
        <v>-713773960</v>
      </c>
      <c r="N221" s="7">
        <v>-713773960</v>
      </c>
      <c r="O221" s="7">
        <v>-713773960</v>
      </c>
      <c r="P221" s="7">
        <v>-714282055</v>
      </c>
      <c r="Q221" s="7">
        <v>-724331688</v>
      </c>
    </row>
    <row r="222" spans="4:17" ht="14.25" customHeight="1" x14ac:dyDescent="0.25">
      <c r="D222" s="5">
        <v>29140</v>
      </c>
      <c r="E222" s="9" t="s">
        <v>185</v>
      </c>
      <c r="F222" s="7">
        <v>1382445</v>
      </c>
      <c r="G222" s="7">
        <v>1957567</v>
      </c>
      <c r="H222" s="7">
        <v>1080559</v>
      </c>
      <c r="I222" s="7">
        <v>542773</v>
      </c>
      <c r="J222" s="7">
        <v>1246697</v>
      </c>
      <c r="K222" s="7">
        <v>758528</v>
      </c>
      <c r="L222" s="7">
        <v>46589</v>
      </c>
      <c r="M222" s="7">
        <v>562955</v>
      </c>
      <c r="N222" s="7">
        <v>-137431</v>
      </c>
      <c r="O222" s="7">
        <v>-231720</v>
      </c>
      <c r="P222" s="7">
        <v>9137</v>
      </c>
      <c r="Q222" s="7">
        <v>-3670330</v>
      </c>
    </row>
    <row r="223" spans="4:17" ht="14.25" customHeight="1" x14ac:dyDescent="0.25">
      <c r="D223" s="5">
        <v>29145</v>
      </c>
      <c r="E223" s="9" t="s">
        <v>186</v>
      </c>
      <c r="F223" s="10">
        <v>1225298713</v>
      </c>
      <c r="G223" s="10">
        <v>1225298713</v>
      </c>
      <c r="H223" s="10">
        <v>1225298713</v>
      </c>
      <c r="I223" s="10">
        <v>1225298713</v>
      </c>
      <c r="J223" s="10">
        <v>1226976579</v>
      </c>
      <c r="K223" s="10">
        <v>1226976579</v>
      </c>
      <c r="L223" s="10">
        <v>1226976579</v>
      </c>
      <c r="M223" s="10">
        <v>1226976579</v>
      </c>
      <c r="N223" s="10">
        <v>1226976579</v>
      </c>
      <c r="O223" s="10">
        <v>1226976579</v>
      </c>
      <c r="P223" s="10">
        <v>1226976579</v>
      </c>
      <c r="Q223" s="10">
        <v>1227001102</v>
      </c>
    </row>
    <row r="224" spans="4:17" ht="14.25" customHeight="1" x14ac:dyDescent="0.25">
      <c r="D224" s="5">
        <v>29200</v>
      </c>
      <c r="E224" s="9" t="s">
        <v>187</v>
      </c>
      <c r="F224" s="7">
        <v>-748685032</v>
      </c>
      <c r="G224" s="7">
        <v>-748685032</v>
      </c>
      <c r="H224" s="7">
        <v>-748685032</v>
      </c>
      <c r="I224" s="7">
        <v>-748685032</v>
      </c>
      <c r="J224" s="7">
        <v>-748685032</v>
      </c>
      <c r="K224" s="7">
        <v>-748685032</v>
      </c>
      <c r="L224" s="7">
        <v>-748685032</v>
      </c>
      <c r="M224" s="7">
        <v>-748685032</v>
      </c>
      <c r="N224" s="7">
        <v>-748685032</v>
      </c>
      <c r="O224" s="7">
        <v>-748685032</v>
      </c>
      <c r="P224" s="7">
        <v>-748685032</v>
      </c>
      <c r="Q224" s="7">
        <v>-748685032</v>
      </c>
    </row>
    <row r="225" spans="4:17" ht="14.25" customHeight="1" x14ac:dyDescent="0.25">
      <c r="D225" s="5">
        <v>29205</v>
      </c>
      <c r="E225" s="9" t="s">
        <v>187</v>
      </c>
      <c r="F225" s="7">
        <v>220435578</v>
      </c>
      <c r="G225" s="7">
        <v>220435578</v>
      </c>
      <c r="H225" s="7">
        <v>220435578</v>
      </c>
      <c r="I225" s="7">
        <v>220435578</v>
      </c>
      <c r="J225" s="7">
        <v>220435578</v>
      </c>
      <c r="K225" s="7">
        <v>220435578</v>
      </c>
      <c r="L225" s="7">
        <v>220435578</v>
      </c>
      <c r="M225" s="7">
        <v>220435578</v>
      </c>
      <c r="N225" s="7">
        <v>220435578</v>
      </c>
      <c r="O225" s="7">
        <v>220435578</v>
      </c>
      <c r="P225" s="7">
        <v>220435578</v>
      </c>
      <c r="Q225" s="11">
        <v>123032200</v>
      </c>
    </row>
    <row r="226" spans="4:17" ht="14.25" customHeight="1" x14ac:dyDescent="0.25">
      <c r="D226" s="5">
        <v>29215</v>
      </c>
      <c r="E226" s="9" t="s">
        <v>188</v>
      </c>
      <c r="F226" s="7">
        <v>299939615</v>
      </c>
      <c r="G226" s="7">
        <v>299939615</v>
      </c>
      <c r="H226" s="7">
        <v>299939615</v>
      </c>
      <c r="I226" s="7">
        <v>299939615</v>
      </c>
      <c r="J226" s="7">
        <v>299939615</v>
      </c>
      <c r="K226" s="7">
        <v>299939615</v>
      </c>
      <c r="L226" s="7">
        <v>299939615</v>
      </c>
      <c r="M226" s="7">
        <v>299939615</v>
      </c>
      <c r="N226" s="7">
        <v>299939615</v>
      </c>
      <c r="O226" s="7">
        <v>299939615</v>
      </c>
      <c r="P226" s="7">
        <v>299939615</v>
      </c>
      <c r="Q226" s="7">
        <v>299939615</v>
      </c>
    </row>
    <row r="227" spans="4:17" ht="14.25" customHeight="1" x14ac:dyDescent="0.25">
      <c r="D227" s="5">
        <v>30510</v>
      </c>
      <c r="E227" s="9" t="s">
        <v>189</v>
      </c>
      <c r="F227" s="7">
        <v>-14137</v>
      </c>
      <c r="G227" s="7">
        <v>-18445</v>
      </c>
      <c r="H227" s="7">
        <v>-22170</v>
      </c>
      <c r="I227" s="7">
        <v>-22432</v>
      </c>
      <c r="J227" s="7">
        <v>-22692</v>
      </c>
      <c r="K227" s="7">
        <v>-29463</v>
      </c>
      <c r="L227" s="7">
        <v>-46149</v>
      </c>
      <c r="M227" s="7">
        <v>-46149</v>
      </c>
      <c r="N227" s="7">
        <v>-49962</v>
      </c>
      <c r="O227" s="7">
        <v>-53180</v>
      </c>
      <c r="P227" s="7">
        <v>-53180</v>
      </c>
      <c r="Q227" s="7">
        <v>-53180</v>
      </c>
    </row>
    <row r="228" spans="4:17" ht="14.25" customHeight="1" x14ac:dyDescent="0.25">
      <c r="D228" s="5">
        <v>30515</v>
      </c>
      <c r="E228" s="9" t="s">
        <v>190</v>
      </c>
      <c r="F228" s="7">
        <v>39303</v>
      </c>
      <c r="G228" s="7">
        <v>300704</v>
      </c>
      <c r="H228" s="7">
        <v>589982</v>
      </c>
      <c r="I228" s="7">
        <v>793993</v>
      </c>
      <c r="J228" s="7">
        <v>960778</v>
      </c>
      <c r="K228" s="7">
        <v>1099968</v>
      </c>
      <c r="L228" s="7">
        <v>1248783</v>
      </c>
      <c r="M228" s="7">
        <v>1484565</v>
      </c>
      <c r="N228" s="7">
        <v>1693921</v>
      </c>
      <c r="O228" s="7">
        <v>1929418</v>
      </c>
      <c r="P228" s="7">
        <v>2073509</v>
      </c>
      <c r="Q228" s="7">
        <v>2117489</v>
      </c>
    </row>
    <row r="229" spans="4:17" ht="14.25" customHeight="1" x14ac:dyDescent="0.25">
      <c r="D229" s="5">
        <v>30516</v>
      </c>
      <c r="E229" s="9" t="s">
        <v>191</v>
      </c>
      <c r="I229" s="9">
        <v>-84</v>
      </c>
      <c r="J229" s="7">
        <v>32288</v>
      </c>
      <c r="K229" s="7">
        <v>37441</v>
      </c>
      <c r="L229" s="7">
        <v>70432</v>
      </c>
      <c r="M229" s="7">
        <v>70842</v>
      </c>
      <c r="N229" s="7">
        <v>71139</v>
      </c>
      <c r="O229" s="7">
        <v>72850</v>
      </c>
      <c r="P229" s="7">
        <v>74114</v>
      </c>
      <c r="Q229" s="7">
        <v>74394</v>
      </c>
    </row>
    <row r="230" spans="4:17" ht="14.25" customHeight="1" x14ac:dyDescent="0.25">
      <c r="D230" s="5">
        <v>30520</v>
      </c>
      <c r="E230" s="9" t="s">
        <v>192</v>
      </c>
      <c r="F230" s="9">
        <v>-516</v>
      </c>
      <c r="G230" s="9">
        <v>-516</v>
      </c>
      <c r="H230" s="9">
        <v>-516</v>
      </c>
      <c r="I230" s="9">
        <v>-516</v>
      </c>
      <c r="J230" s="9">
        <v>984</v>
      </c>
      <c r="K230" s="9">
        <v>882</v>
      </c>
      <c r="L230" s="9">
        <v>882</v>
      </c>
      <c r="M230" s="7">
        <v>1442</v>
      </c>
      <c r="N230" s="7">
        <v>1442</v>
      </c>
      <c r="O230" s="7">
        <v>1442</v>
      </c>
      <c r="P230" s="7">
        <v>1442</v>
      </c>
      <c r="Q230" s="7">
        <v>1442</v>
      </c>
    </row>
    <row r="231" spans="4:17" ht="14.25" customHeight="1" x14ac:dyDescent="0.25">
      <c r="D231" s="5">
        <v>30531</v>
      </c>
      <c r="E231" s="9" t="s">
        <v>193</v>
      </c>
      <c r="F231" s="7">
        <v>-2264901</v>
      </c>
      <c r="G231" s="7">
        <v>-2095517</v>
      </c>
      <c r="H231" s="7">
        <v>-1545861</v>
      </c>
      <c r="I231" s="7">
        <v>-1131243</v>
      </c>
      <c r="J231" s="7">
        <v>-310490</v>
      </c>
      <c r="K231" s="7">
        <v>21884</v>
      </c>
      <c r="L231" s="7">
        <v>254700</v>
      </c>
      <c r="M231" s="7">
        <v>805900</v>
      </c>
      <c r="N231" s="7">
        <v>930369</v>
      </c>
      <c r="O231" s="7">
        <v>1048205</v>
      </c>
      <c r="P231" s="7">
        <v>1343763</v>
      </c>
      <c r="Q231" s="7">
        <v>1543232</v>
      </c>
    </row>
    <row r="232" spans="4:17" ht="14.25" customHeight="1" x14ac:dyDescent="0.25">
      <c r="D232" s="5">
        <v>30532</v>
      </c>
      <c r="E232" s="9" t="s">
        <v>193</v>
      </c>
      <c r="F232" s="7">
        <v>-1843560</v>
      </c>
      <c r="G232" s="7">
        <v>-3830152</v>
      </c>
      <c r="H232" s="7">
        <v>-5925659</v>
      </c>
      <c r="I232" s="7">
        <v>-7799713</v>
      </c>
      <c r="J232" s="7">
        <v>-11134862</v>
      </c>
      <c r="K232" s="7">
        <v>-13082852</v>
      </c>
      <c r="L232" s="7">
        <v>-15358401</v>
      </c>
      <c r="M232" s="7">
        <v>-18058831</v>
      </c>
      <c r="N232" s="7">
        <v>-20327307</v>
      </c>
      <c r="O232" s="7">
        <v>-22242846</v>
      </c>
      <c r="P232" s="7">
        <v>-24109368</v>
      </c>
      <c r="Q232" s="7">
        <v>-25864873</v>
      </c>
    </row>
    <row r="233" spans="4:17" ht="14.25" customHeight="1" x14ac:dyDescent="0.25">
      <c r="D233" s="5">
        <v>30534</v>
      </c>
      <c r="E233" s="9" t="s">
        <v>194</v>
      </c>
      <c r="N233" s="7">
        <v>-9595480</v>
      </c>
      <c r="O233" s="7">
        <v>-21278040</v>
      </c>
      <c r="P233" s="7">
        <v>-30220179</v>
      </c>
      <c r="Q233" s="7">
        <v>-38115550</v>
      </c>
    </row>
    <row r="234" spans="4:17" ht="14.25" customHeight="1" x14ac:dyDescent="0.25">
      <c r="D234" s="5">
        <v>31002</v>
      </c>
      <c r="E234" s="9" t="s">
        <v>195</v>
      </c>
      <c r="F234" s="7">
        <v>-74044682</v>
      </c>
      <c r="G234" s="7">
        <v>-153303778</v>
      </c>
      <c r="H234" s="7">
        <v>-242354599</v>
      </c>
      <c r="I234" s="7">
        <v>-330528922</v>
      </c>
      <c r="J234" s="7">
        <v>-413972467</v>
      </c>
      <c r="K234" s="7">
        <v>-495329541</v>
      </c>
      <c r="L234" s="7">
        <v>-588920633</v>
      </c>
      <c r="M234" s="7">
        <v>-683008291</v>
      </c>
      <c r="N234" s="7">
        <v>-795826204</v>
      </c>
      <c r="O234" s="7">
        <v>-910047331</v>
      </c>
      <c r="P234" s="10">
        <v>-1013089618</v>
      </c>
      <c r="Q234" s="10">
        <v>-1111123152</v>
      </c>
    </row>
    <row r="235" spans="4:17" ht="14.25" customHeight="1" x14ac:dyDescent="0.25">
      <c r="D235" s="5">
        <v>31005</v>
      </c>
      <c r="E235" s="9" t="s">
        <v>196</v>
      </c>
      <c r="F235" s="7">
        <v>-3130320</v>
      </c>
      <c r="G235" s="7">
        <v>-7363436</v>
      </c>
      <c r="H235" s="7">
        <v>-11744814</v>
      </c>
      <c r="I235" s="7">
        <v>-16570720</v>
      </c>
      <c r="J235" s="7">
        <v>-22179861</v>
      </c>
      <c r="K235" s="7">
        <v>-25992236</v>
      </c>
      <c r="L235" s="7">
        <v>-29785422</v>
      </c>
      <c r="M235" s="7">
        <v>-33108575</v>
      </c>
      <c r="N235" s="7">
        <v>-36124936</v>
      </c>
      <c r="O235" s="7">
        <v>-38318682</v>
      </c>
      <c r="P235" s="7">
        <v>-42382187</v>
      </c>
      <c r="Q235" s="7">
        <v>-44912360</v>
      </c>
    </row>
    <row r="236" spans="4:17" ht="14.25" customHeight="1" x14ac:dyDescent="0.25">
      <c r="D236" s="5">
        <v>31011</v>
      </c>
      <c r="E236" s="9" t="s">
        <v>197</v>
      </c>
      <c r="F236" s="7">
        <v>16292400</v>
      </c>
      <c r="G236" s="7">
        <v>32089953</v>
      </c>
      <c r="H236" s="7">
        <v>51042087</v>
      </c>
      <c r="I236" s="7">
        <v>70233052</v>
      </c>
      <c r="J236" s="7">
        <v>90542657</v>
      </c>
      <c r="K236" s="7">
        <v>110230843</v>
      </c>
      <c r="L236" s="7">
        <v>131044618</v>
      </c>
      <c r="M236" s="7">
        <v>153541987</v>
      </c>
      <c r="N236" s="7">
        <v>178749750</v>
      </c>
      <c r="O236" s="7">
        <v>210115591</v>
      </c>
      <c r="P236" s="7">
        <v>241059240</v>
      </c>
      <c r="Q236" s="7">
        <v>271301526</v>
      </c>
    </row>
    <row r="237" spans="4:17" ht="14.25" customHeight="1" x14ac:dyDescent="0.25">
      <c r="D237" s="5">
        <v>31012</v>
      </c>
      <c r="E237" s="9" t="s">
        <v>198</v>
      </c>
      <c r="O237" s="7">
        <v>-4263</v>
      </c>
      <c r="P237" s="7">
        <v>-4263</v>
      </c>
      <c r="Q237" s="7">
        <v>-3823</v>
      </c>
    </row>
    <row r="238" spans="4:17" ht="14.25" customHeight="1" x14ac:dyDescent="0.25">
      <c r="D238" s="5">
        <v>31072</v>
      </c>
      <c r="E238" s="9" t="s">
        <v>199</v>
      </c>
      <c r="F238" s="7">
        <v>-2324369</v>
      </c>
      <c r="G238" s="7">
        <v>-4265278</v>
      </c>
      <c r="H238" s="7">
        <v>-5809460</v>
      </c>
      <c r="I238" s="7">
        <v>-8374060</v>
      </c>
      <c r="J238" s="7">
        <v>-12671378</v>
      </c>
      <c r="K238" s="7">
        <v>-14909984</v>
      </c>
      <c r="L238" s="7">
        <v>-16210445</v>
      </c>
      <c r="M238" s="7">
        <v>-17428571</v>
      </c>
      <c r="N238" s="7">
        <v>-17989478</v>
      </c>
      <c r="O238" s="7">
        <v>-18930519</v>
      </c>
      <c r="P238" s="7">
        <v>-20358944</v>
      </c>
      <c r="Q238" s="7">
        <v>-22771363</v>
      </c>
    </row>
    <row r="239" spans="4:17" ht="14.25" customHeight="1" x14ac:dyDescent="0.25">
      <c r="D239" s="5">
        <v>31170</v>
      </c>
      <c r="E239" s="9" t="s">
        <v>200</v>
      </c>
      <c r="F239" s="7">
        <v>-1661818</v>
      </c>
      <c r="G239" s="7">
        <v>-3077565</v>
      </c>
      <c r="H239" s="7">
        <v>-3900844</v>
      </c>
      <c r="I239" s="7">
        <v>-5011777</v>
      </c>
      <c r="J239" s="7">
        <v>-6822001</v>
      </c>
      <c r="K239" s="7">
        <v>-8717573</v>
      </c>
      <c r="L239" s="7">
        <v>-9996095</v>
      </c>
      <c r="M239" s="7">
        <v>-11410170</v>
      </c>
      <c r="N239" s="7">
        <v>-13098314</v>
      </c>
      <c r="O239" s="7">
        <v>-14463942</v>
      </c>
      <c r="P239" s="7">
        <v>-16179141</v>
      </c>
      <c r="Q239" s="7">
        <v>-17784984</v>
      </c>
    </row>
    <row r="240" spans="4:17" ht="14.25" customHeight="1" x14ac:dyDescent="0.25">
      <c r="D240" s="5">
        <v>31180</v>
      </c>
      <c r="E240" s="9" t="s">
        <v>201</v>
      </c>
      <c r="F240" s="7">
        <v>-308591</v>
      </c>
      <c r="G240" s="7">
        <v>-444844</v>
      </c>
      <c r="H240" s="7">
        <v>-707189</v>
      </c>
      <c r="I240" s="7">
        <v>-940398</v>
      </c>
      <c r="J240" s="7">
        <v>-1194820</v>
      </c>
      <c r="K240" s="7">
        <v>-1434008</v>
      </c>
      <c r="L240" s="7">
        <v>-1816017</v>
      </c>
      <c r="M240" s="7">
        <v>-2169138</v>
      </c>
      <c r="N240" s="7">
        <v>-2442705</v>
      </c>
      <c r="O240" s="7">
        <v>-2733416</v>
      </c>
      <c r="P240" s="7">
        <v>-2850688</v>
      </c>
      <c r="Q240" s="7">
        <v>-3111726</v>
      </c>
    </row>
    <row r="241" spans="4:17" ht="14.25" customHeight="1" x14ac:dyDescent="0.25">
      <c r="D241" s="5">
        <v>31999</v>
      </c>
      <c r="E241" s="9" t="s">
        <v>202</v>
      </c>
      <c r="F241" s="7">
        <v>-3495</v>
      </c>
      <c r="G241" s="7">
        <v>-6445</v>
      </c>
      <c r="H241" s="7">
        <v>-8061</v>
      </c>
      <c r="I241" s="7">
        <v>-10664</v>
      </c>
      <c r="J241" s="7">
        <v>-12752</v>
      </c>
      <c r="K241" s="7">
        <v>-15193</v>
      </c>
      <c r="L241" s="7">
        <v>-16714</v>
      </c>
      <c r="M241" s="7">
        <v>-17926</v>
      </c>
      <c r="N241" s="7">
        <v>-18630</v>
      </c>
      <c r="O241" s="7">
        <v>-19066</v>
      </c>
      <c r="P241" s="7">
        <v>-20060</v>
      </c>
      <c r="Q241" s="7">
        <v>-22185</v>
      </c>
    </row>
    <row r="242" spans="4:17" ht="14.25" customHeight="1" x14ac:dyDescent="0.25">
      <c r="D242" s="5">
        <v>32002</v>
      </c>
      <c r="E242" s="9" t="s">
        <v>203</v>
      </c>
      <c r="F242" s="7">
        <v>-7621</v>
      </c>
      <c r="G242" s="7">
        <v>-12694</v>
      </c>
      <c r="H242" s="7">
        <v>-72374</v>
      </c>
      <c r="I242" s="7">
        <v>-81951</v>
      </c>
      <c r="J242" s="7">
        <v>-80371</v>
      </c>
      <c r="K242" s="7">
        <v>-991647</v>
      </c>
      <c r="L242" s="7">
        <v>-1159961</v>
      </c>
      <c r="M242" s="7">
        <v>-1188535</v>
      </c>
      <c r="N242" s="7">
        <v>-1226189</v>
      </c>
      <c r="O242" s="7">
        <v>-1234247</v>
      </c>
      <c r="P242" s="7">
        <v>-1285286</v>
      </c>
      <c r="Q242" s="7">
        <v>-1371802</v>
      </c>
    </row>
    <row r="243" spans="4:17" ht="14.25" customHeight="1" x14ac:dyDescent="0.25">
      <c r="D243" s="5">
        <v>35001</v>
      </c>
      <c r="E243" s="9" t="s">
        <v>204</v>
      </c>
      <c r="F243" s="7">
        <v>14196</v>
      </c>
      <c r="G243" s="7">
        <v>26637</v>
      </c>
      <c r="H243" s="7">
        <v>44614</v>
      </c>
      <c r="I243" s="7">
        <v>104266</v>
      </c>
      <c r="J243" s="7">
        <v>157181</v>
      </c>
      <c r="K243" s="7">
        <v>191450</v>
      </c>
      <c r="L243" s="7">
        <v>236298</v>
      </c>
      <c r="M243" s="7">
        <v>266134</v>
      </c>
      <c r="N243" s="7">
        <v>295068</v>
      </c>
      <c r="O243" s="7">
        <v>339498</v>
      </c>
      <c r="P243" s="7">
        <v>357762</v>
      </c>
      <c r="Q243" s="7">
        <v>367512</v>
      </c>
    </row>
    <row r="244" spans="4:17" ht="14.25" customHeight="1" x14ac:dyDescent="0.25">
      <c r="D244" s="5">
        <v>36002</v>
      </c>
      <c r="E244" s="9" t="s">
        <v>205</v>
      </c>
      <c r="F244" s="9">
        <v>85</v>
      </c>
      <c r="G244" s="9">
        <v>-589</v>
      </c>
      <c r="H244" s="7">
        <v>367541</v>
      </c>
      <c r="I244" s="7">
        <v>460318</v>
      </c>
      <c r="J244" s="7">
        <v>593225</v>
      </c>
      <c r="K244" s="7">
        <v>679194</v>
      </c>
      <c r="L244" s="7">
        <v>780583</v>
      </c>
      <c r="M244" s="7">
        <v>917353</v>
      </c>
      <c r="N244" s="7">
        <v>1049600</v>
      </c>
      <c r="O244" s="7">
        <v>1049622</v>
      </c>
      <c r="P244" s="7">
        <v>1184651</v>
      </c>
      <c r="Q244" s="7">
        <v>1343540</v>
      </c>
    </row>
    <row r="245" spans="4:17" ht="14.25" customHeight="1" x14ac:dyDescent="0.25">
      <c r="D245" s="5">
        <v>41100</v>
      </c>
      <c r="E245" s="9" t="s">
        <v>206</v>
      </c>
      <c r="F245" s="7">
        <v>36075865</v>
      </c>
      <c r="G245" s="7">
        <v>67955262</v>
      </c>
      <c r="H245" s="7">
        <v>102060632</v>
      </c>
      <c r="I245" s="7">
        <v>135281367</v>
      </c>
      <c r="J245" s="7">
        <v>167795063</v>
      </c>
      <c r="K245" s="7">
        <v>196714525</v>
      </c>
      <c r="L245" s="7">
        <v>233801416</v>
      </c>
      <c r="M245" s="7">
        <v>270192140</v>
      </c>
      <c r="N245" s="7">
        <v>324291212</v>
      </c>
      <c r="O245" s="7">
        <v>377601466</v>
      </c>
      <c r="P245" s="7">
        <v>421008239</v>
      </c>
      <c r="Q245" s="7">
        <v>463689498</v>
      </c>
    </row>
    <row r="246" spans="4:17" ht="14.25" customHeight="1" x14ac:dyDescent="0.25">
      <c r="D246" s="5">
        <v>41101</v>
      </c>
      <c r="E246" s="9" t="s">
        <v>206</v>
      </c>
      <c r="F246" s="7">
        <v>-484410</v>
      </c>
      <c r="G246" s="7">
        <v>-926240</v>
      </c>
      <c r="H246" s="7">
        <v>-1297329</v>
      </c>
      <c r="I246" s="7">
        <v>-738201</v>
      </c>
      <c r="J246" s="7">
        <v>-221841</v>
      </c>
      <c r="K246" s="7">
        <v>1313235</v>
      </c>
      <c r="L246" s="7">
        <v>1581908</v>
      </c>
      <c r="M246" s="7">
        <v>3130979</v>
      </c>
      <c r="N246" s="7">
        <v>4485327</v>
      </c>
      <c r="O246" s="7">
        <v>5934162</v>
      </c>
      <c r="P246" s="7">
        <v>7212258</v>
      </c>
      <c r="Q246" s="7">
        <v>8561862</v>
      </c>
    </row>
    <row r="247" spans="4:17" ht="14.25" customHeight="1" x14ac:dyDescent="0.25">
      <c r="D247" s="5">
        <v>41105</v>
      </c>
      <c r="E247" s="9" t="s">
        <v>207</v>
      </c>
      <c r="F247" s="7">
        <v>3287622</v>
      </c>
      <c r="G247" s="7">
        <v>7150545</v>
      </c>
      <c r="H247" s="7">
        <v>11151987</v>
      </c>
      <c r="I247" s="7">
        <v>15272260</v>
      </c>
      <c r="J247" s="7">
        <v>20127102</v>
      </c>
      <c r="K247" s="7">
        <v>23507626</v>
      </c>
      <c r="L247" s="7">
        <v>26831469</v>
      </c>
      <c r="M247" s="7">
        <v>29789985</v>
      </c>
      <c r="N247" s="7">
        <v>32585031</v>
      </c>
      <c r="O247" s="7">
        <v>34580197</v>
      </c>
      <c r="P247" s="7">
        <v>38381865</v>
      </c>
      <c r="Q247" s="7">
        <v>40724539</v>
      </c>
    </row>
    <row r="248" spans="4:17" ht="14.25" customHeight="1" x14ac:dyDescent="0.25">
      <c r="D248" s="5">
        <v>41150</v>
      </c>
      <c r="E248" s="9" t="s">
        <v>206</v>
      </c>
      <c r="F248" s="7">
        <v>53152</v>
      </c>
      <c r="G248" s="7">
        <v>170760</v>
      </c>
      <c r="H248" s="7">
        <v>248023</v>
      </c>
      <c r="I248" s="7">
        <v>334501</v>
      </c>
      <c r="J248" s="7">
        <v>445557</v>
      </c>
      <c r="K248" s="7">
        <v>1431183</v>
      </c>
      <c r="L248" s="7">
        <v>1431583</v>
      </c>
      <c r="M248" s="7">
        <v>1512027</v>
      </c>
      <c r="N248" s="7">
        <v>1550464</v>
      </c>
      <c r="O248" s="7">
        <v>1623676</v>
      </c>
      <c r="P248" s="7">
        <v>1726695</v>
      </c>
      <c r="Q248" s="7">
        <v>2453796</v>
      </c>
    </row>
    <row r="249" spans="4:17" ht="14.25" customHeight="1" x14ac:dyDescent="0.25">
      <c r="D249" s="5">
        <v>41170</v>
      </c>
      <c r="E249" s="9" t="s">
        <v>208</v>
      </c>
      <c r="F249" s="7">
        <v>574900</v>
      </c>
      <c r="G249" s="7">
        <v>977762</v>
      </c>
      <c r="H249" s="7">
        <v>1258996</v>
      </c>
      <c r="I249" s="7">
        <v>1584260</v>
      </c>
      <c r="J249" s="7">
        <v>2145902</v>
      </c>
      <c r="K249" s="7">
        <v>2742021</v>
      </c>
      <c r="L249" s="7">
        <v>3215567</v>
      </c>
      <c r="M249" s="7">
        <v>3662895</v>
      </c>
      <c r="N249" s="7">
        <v>4252882</v>
      </c>
      <c r="O249" s="7">
        <v>4684915</v>
      </c>
      <c r="P249" s="7">
        <v>5313825</v>
      </c>
      <c r="Q249" s="7">
        <v>5829116</v>
      </c>
    </row>
    <row r="250" spans="4:17" ht="14.25" customHeight="1" x14ac:dyDescent="0.25">
      <c r="D250" s="5">
        <v>41180</v>
      </c>
      <c r="E250" s="9" t="s">
        <v>209</v>
      </c>
      <c r="F250" s="7">
        <v>88560</v>
      </c>
      <c r="G250" s="7">
        <v>126731</v>
      </c>
      <c r="H250" s="7">
        <v>202828</v>
      </c>
      <c r="I250" s="7">
        <v>270252</v>
      </c>
      <c r="J250" s="7">
        <v>341517</v>
      </c>
      <c r="K250" s="7">
        <v>408623</v>
      </c>
      <c r="L250" s="7">
        <v>519216</v>
      </c>
      <c r="M250" s="7">
        <v>617902</v>
      </c>
      <c r="N250" s="7">
        <v>696792</v>
      </c>
      <c r="O250" s="7">
        <v>781219</v>
      </c>
      <c r="P250" s="7">
        <v>813870</v>
      </c>
      <c r="Q250" s="7">
        <v>888987</v>
      </c>
    </row>
    <row r="251" spans="4:17" ht="14.25" customHeight="1" x14ac:dyDescent="0.25">
      <c r="D251" s="5">
        <v>41182</v>
      </c>
      <c r="E251" s="9" t="s">
        <v>210</v>
      </c>
      <c r="F251" s="7">
        <v>-2760</v>
      </c>
      <c r="G251" s="7">
        <v>-2760</v>
      </c>
      <c r="H251" s="7">
        <v>-2754</v>
      </c>
      <c r="I251" s="7">
        <v>-6533</v>
      </c>
      <c r="J251" s="7">
        <v>-6527</v>
      </c>
      <c r="K251" s="7">
        <v>-7207</v>
      </c>
      <c r="L251" s="7">
        <v>-7198</v>
      </c>
      <c r="M251" s="7">
        <v>-11451</v>
      </c>
      <c r="N251" s="7">
        <v>-13276</v>
      </c>
      <c r="O251" s="7">
        <v>-13276</v>
      </c>
      <c r="P251" s="7">
        <v>-13276</v>
      </c>
      <c r="Q251" s="7">
        <v>-13276</v>
      </c>
    </row>
    <row r="252" spans="4:17" ht="14.25" customHeight="1" x14ac:dyDescent="0.25">
      <c r="D252" s="5">
        <v>41183</v>
      </c>
      <c r="E252" s="9" t="s">
        <v>211</v>
      </c>
      <c r="K252" s="7">
        <v>-6306</v>
      </c>
      <c r="L252" s="7">
        <v>-17109</v>
      </c>
      <c r="M252" s="7">
        <v>-17109</v>
      </c>
      <c r="N252" s="7">
        <v>-17109</v>
      </c>
      <c r="O252" s="7">
        <v>-17109</v>
      </c>
      <c r="P252" s="7">
        <v>-23412</v>
      </c>
      <c r="Q252" s="7">
        <v>-17109</v>
      </c>
    </row>
    <row r="253" spans="4:17" ht="14.25" customHeight="1" x14ac:dyDescent="0.25">
      <c r="D253" s="5">
        <v>41190</v>
      </c>
      <c r="E253" s="9" t="s">
        <v>212</v>
      </c>
      <c r="F253" s="7">
        <v>1487390</v>
      </c>
      <c r="G253" s="7">
        <v>3022289</v>
      </c>
      <c r="H253" s="7">
        <v>4518265</v>
      </c>
      <c r="I253" s="7">
        <v>5936536</v>
      </c>
      <c r="J253" s="7">
        <v>7929666</v>
      </c>
      <c r="K253" s="7">
        <v>9437872</v>
      </c>
      <c r="L253" s="7">
        <v>11349079</v>
      </c>
      <c r="M253" s="7">
        <v>13565452</v>
      </c>
      <c r="N253" s="7">
        <v>15543963</v>
      </c>
      <c r="O253" s="7">
        <v>17367886</v>
      </c>
      <c r="P253" s="7">
        <v>18894922</v>
      </c>
      <c r="Q253" s="7">
        <v>19776595</v>
      </c>
    </row>
    <row r="254" spans="4:17" ht="14.25" customHeight="1" x14ac:dyDescent="0.25">
      <c r="D254" s="5">
        <v>41310</v>
      </c>
      <c r="E254" s="9" t="s">
        <v>213</v>
      </c>
      <c r="F254" s="7">
        <v>337909</v>
      </c>
      <c r="G254" s="7">
        <v>1159958</v>
      </c>
      <c r="H254" s="7">
        <v>2280771</v>
      </c>
      <c r="I254" s="7">
        <v>3045387</v>
      </c>
      <c r="J254" s="7">
        <v>4273734</v>
      </c>
      <c r="K254" s="7">
        <v>5203818</v>
      </c>
      <c r="L254" s="7">
        <v>6134840</v>
      </c>
      <c r="M254" s="7">
        <v>6947092</v>
      </c>
      <c r="N254" s="7">
        <v>8002099</v>
      </c>
      <c r="O254" s="7">
        <v>8908998</v>
      </c>
      <c r="P254" s="7">
        <v>9604626</v>
      </c>
      <c r="Q254" s="7">
        <v>10095206</v>
      </c>
    </row>
    <row r="255" spans="4:17" ht="14.25" customHeight="1" x14ac:dyDescent="0.25">
      <c r="D255" s="5">
        <v>41320</v>
      </c>
      <c r="E255" s="9" t="s">
        <v>214</v>
      </c>
      <c r="F255" s="7">
        <v>421546</v>
      </c>
      <c r="G255" s="7">
        <v>836578</v>
      </c>
      <c r="H255" s="7">
        <v>1741230</v>
      </c>
      <c r="I255" s="7">
        <v>3327792</v>
      </c>
      <c r="J255" s="7">
        <v>4369789</v>
      </c>
      <c r="K255" s="7">
        <v>5745494</v>
      </c>
      <c r="L255" s="7">
        <v>6742579</v>
      </c>
      <c r="M255" s="7">
        <v>6865509</v>
      </c>
      <c r="N255" s="7">
        <v>7107641</v>
      </c>
      <c r="O255" s="7">
        <v>7658377</v>
      </c>
      <c r="P255" s="7">
        <v>8286571</v>
      </c>
      <c r="Q255" s="7">
        <v>14942682</v>
      </c>
    </row>
    <row r="256" spans="4:17" ht="14.25" customHeight="1" x14ac:dyDescent="0.25">
      <c r="D256" s="5">
        <v>41330</v>
      </c>
      <c r="E256" s="9" t="s">
        <v>215</v>
      </c>
      <c r="Q256" s="7">
        <v>-223809</v>
      </c>
    </row>
    <row r="257" spans="4:17" ht="14.25" customHeight="1" x14ac:dyDescent="0.25">
      <c r="D257" s="5">
        <v>41340</v>
      </c>
      <c r="E257" s="9" t="s">
        <v>216</v>
      </c>
      <c r="F257" s="7">
        <v>6415</v>
      </c>
      <c r="G257" s="7">
        <v>15978</v>
      </c>
      <c r="H257" s="7">
        <v>24727</v>
      </c>
      <c r="I257" s="7">
        <v>46575</v>
      </c>
      <c r="J257" s="7">
        <v>45771</v>
      </c>
      <c r="K257" s="7">
        <v>56349</v>
      </c>
      <c r="L257" s="7">
        <v>69756</v>
      </c>
      <c r="M257" s="7">
        <v>75020</v>
      </c>
      <c r="N257" s="7">
        <v>77742</v>
      </c>
      <c r="O257" s="7">
        <v>88680</v>
      </c>
      <c r="P257" s="7">
        <v>89580</v>
      </c>
      <c r="Q257" s="7">
        <v>91560</v>
      </c>
    </row>
    <row r="258" spans="4:17" ht="14.25" customHeight="1" x14ac:dyDescent="0.25">
      <c r="D258" s="5">
        <v>42100</v>
      </c>
      <c r="E258" s="9" t="s">
        <v>217</v>
      </c>
      <c r="F258" s="7">
        <v>-235163</v>
      </c>
      <c r="G258" s="7">
        <v>-426009</v>
      </c>
      <c r="H258" s="7">
        <v>-659698</v>
      </c>
      <c r="I258" s="7">
        <v>-1486225</v>
      </c>
      <c r="J258" s="7">
        <v>-2339386</v>
      </c>
      <c r="K258" s="7">
        <v>-3098981</v>
      </c>
      <c r="L258" s="7">
        <v>-3946600</v>
      </c>
      <c r="M258" s="7">
        <v>-4724042</v>
      </c>
      <c r="N258" s="7">
        <v>-5510857</v>
      </c>
      <c r="O258" s="7">
        <v>-6371032</v>
      </c>
      <c r="P258" s="7">
        <v>-6887154</v>
      </c>
      <c r="Q258" s="7">
        <v>-7090099</v>
      </c>
    </row>
    <row r="259" spans="4:17" ht="14.25" customHeight="1" x14ac:dyDescent="0.25">
      <c r="D259" s="5">
        <v>43100</v>
      </c>
      <c r="E259" s="9" t="s">
        <v>218</v>
      </c>
      <c r="F259" s="7">
        <v>-47667706</v>
      </c>
      <c r="G259" s="7">
        <v>-91533142</v>
      </c>
      <c r="H259" s="7">
        <v>-137253757</v>
      </c>
      <c r="I259" s="7">
        <v>-183877804</v>
      </c>
      <c r="J259" s="7">
        <v>-234702350</v>
      </c>
      <c r="K259" s="7">
        <v>-284240460</v>
      </c>
      <c r="L259" s="7">
        <v>-334562933</v>
      </c>
      <c r="M259" s="7">
        <v>-389575146</v>
      </c>
      <c r="N259" s="7">
        <v>-449062869</v>
      </c>
      <c r="O259" s="7">
        <v>-515371384</v>
      </c>
      <c r="P259" s="7">
        <v>-577087940</v>
      </c>
      <c r="Q259" s="7">
        <v>-635900949</v>
      </c>
    </row>
    <row r="260" spans="4:17" ht="14.25" customHeight="1" x14ac:dyDescent="0.25">
      <c r="D260" s="5">
        <v>43200</v>
      </c>
      <c r="E260" s="9" t="s">
        <v>219</v>
      </c>
      <c r="F260" s="9">
        <v>-227</v>
      </c>
      <c r="G260" s="9">
        <v>-365</v>
      </c>
      <c r="H260" s="9">
        <v>-647</v>
      </c>
      <c r="I260" s="7">
        <v>5723</v>
      </c>
      <c r="J260" s="7">
        <v>5459</v>
      </c>
      <c r="K260" s="7">
        <v>5172</v>
      </c>
      <c r="L260" s="7">
        <v>4912</v>
      </c>
      <c r="M260" s="7">
        <v>4467</v>
      </c>
      <c r="N260" s="7">
        <v>4192</v>
      </c>
      <c r="O260" s="7">
        <v>3895</v>
      </c>
      <c r="P260" s="7">
        <v>3696</v>
      </c>
      <c r="Q260" s="7">
        <v>3553</v>
      </c>
    </row>
    <row r="261" spans="4:17" ht="14.25" customHeight="1" x14ac:dyDescent="0.25">
      <c r="D261" s="5">
        <v>50110</v>
      </c>
      <c r="E261" s="9" t="s">
        <v>220</v>
      </c>
      <c r="F261" s="7">
        <v>3173</v>
      </c>
      <c r="G261" s="7">
        <v>8112</v>
      </c>
      <c r="H261" s="7">
        <v>13247</v>
      </c>
      <c r="I261" s="7">
        <v>41162</v>
      </c>
      <c r="J261" s="7">
        <v>57200</v>
      </c>
      <c r="K261" s="7">
        <v>87109</v>
      </c>
      <c r="L261" s="7">
        <v>122199</v>
      </c>
      <c r="M261" s="7">
        <v>155818</v>
      </c>
      <c r="N261" s="7">
        <v>194877</v>
      </c>
      <c r="O261" s="7">
        <v>243589</v>
      </c>
      <c r="P261" s="7">
        <v>257194</v>
      </c>
      <c r="Q261" s="7">
        <v>281081</v>
      </c>
    </row>
    <row r="262" spans="4:17" ht="14.25" customHeight="1" x14ac:dyDescent="0.25">
      <c r="D262" s="5">
        <v>50115</v>
      </c>
      <c r="E262" s="9" t="s">
        <v>220</v>
      </c>
      <c r="F262" s="7">
        <v>29687590</v>
      </c>
      <c r="G262" s="7">
        <v>57112971</v>
      </c>
      <c r="H262" s="7">
        <v>85942940</v>
      </c>
      <c r="I262" s="7">
        <v>116335012</v>
      </c>
      <c r="J262" s="7">
        <v>149289291</v>
      </c>
      <c r="K262" s="7">
        <v>179872698</v>
      </c>
      <c r="L262" s="7">
        <v>210713425</v>
      </c>
      <c r="M262" s="7">
        <v>243484417</v>
      </c>
      <c r="N262" s="7">
        <v>282297655</v>
      </c>
      <c r="O262" s="7">
        <v>326079785</v>
      </c>
      <c r="P262" s="7">
        <v>366984639</v>
      </c>
      <c r="Q262" s="7">
        <v>406270759</v>
      </c>
    </row>
    <row r="263" spans="4:17" ht="14.25" customHeight="1" x14ac:dyDescent="0.25">
      <c r="D263" s="5">
        <v>50120</v>
      </c>
      <c r="E263" s="9" t="s">
        <v>221</v>
      </c>
      <c r="F263" s="7">
        <v>3510</v>
      </c>
      <c r="G263" s="7">
        <v>3942</v>
      </c>
      <c r="H263" s="7">
        <v>9870</v>
      </c>
      <c r="I263" s="7">
        <v>10164</v>
      </c>
      <c r="J263" s="7">
        <v>11464</v>
      </c>
      <c r="K263" s="7">
        <v>12875</v>
      </c>
      <c r="L263" s="7">
        <v>12875</v>
      </c>
      <c r="M263" s="7">
        <v>16447</v>
      </c>
      <c r="N263" s="7">
        <v>23026</v>
      </c>
      <c r="O263" s="7">
        <v>57699</v>
      </c>
      <c r="P263" s="7">
        <v>64483</v>
      </c>
      <c r="Q263" s="7">
        <v>82559</v>
      </c>
    </row>
    <row r="264" spans="4:17" ht="14.25" customHeight="1" x14ac:dyDescent="0.25">
      <c r="D264" s="5">
        <v>50130</v>
      </c>
      <c r="E264" s="9" t="s">
        <v>221</v>
      </c>
      <c r="F264" s="7">
        <v>-5190</v>
      </c>
      <c r="G264" s="7">
        <v>62910</v>
      </c>
      <c r="H264" s="7">
        <v>124633</v>
      </c>
      <c r="I264" s="7">
        <v>174205</v>
      </c>
      <c r="J264" s="7">
        <v>139398</v>
      </c>
      <c r="K264" s="7">
        <v>128850</v>
      </c>
      <c r="L264" s="7">
        <v>132930</v>
      </c>
      <c r="M264" s="7">
        <v>152210</v>
      </c>
      <c r="N264" s="7">
        <v>164450</v>
      </c>
      <c r="O264" s="7">
        <v>217150</v>
      </c>
      <c r="P264" s="7">
        <v>281400</v>
      </c>
      <c r="Q264" s="7">
        <v>417110</v>
      </c>
    </row>
    <row r="265" spans="4:17" ht="14.25" customHeight="1" x14ac:dyDescent="0.25">
      <c r="D265" s="5">
        <v>50200</v>
      </c>
      <c r="E265" s="9" t="s">
        <v>222</v>
      </c>
      <c r="F265" s="7">
        <v>65131</v>
      </c>
      <c r="G265" s="7">
        <v>101738</v>
      </c>
      <c r="H265" s="7">
        <v>152572</v>
      </c>
      <c r="I265" s="7">
        <v>252718</v>
      </c>
      <c r="J265" s="7">
        <v>252718</v>
      </c>
      <c r="K265" s="7">
        <v>314258</v>
      </c>
      <c r="L265" s="7">
        <v>374819</v>
      </c>
      <c r="M265" s="7">
        <v>455774</v>
      </c>
      <c r="N265" s="7">
        <v>564840</v>
      </c>
      <c r="O265" s="7">
        <v>609967</v>
      </c>
      <c r="P265" s="7">
        <v>690426</v>
      </c>
      <c r="Q265" s="7">
        <v>743817</v>
      </c>
    </row>
    <row r="266" spans="4:17" ht="14.25" customHeight="1" x14ac:dyDescent="0.25">
      <c r="D266" s="5">
        <v>50210</v>
      </c>
      <c r="E266" s="9" t="s">
        <v>220</v>
      </c>
      <c r="F266" s="7">
        <v>-5063336</v>
      </c>
      <c r="G266" s="7">
        <v>-5527838</v>
      </c>
      <c r="H266" s="7">
        <v>-5237878</v>
      </c>
      <c r="I266" s="7">
        <v>-5714077</v>
      </c>
      <c r="J266" s="7">
        <v>-7800816</v>
      </c>
      <c r="K266" s="7">
        <v>-9196277</v>
      </c>
      <c r="L266" s="7">
        <v>-10469702</v>
      </c>
      <c r="M266" s="7">
        <v>-12363996</v>
      </c>
      <c r="N266" s="7">
        <v>-14722679</v>
      </c>
      <c r="O266" s="7">
        <v>-16005012</v>
      </c>
      <c r="P266" s="7">
        <v>-19168139</v>
      </c>
      <c r="Q266" s="7">
        <v>-18526245</v>
      </c>
    </row>
    <row r="267" spans="4:17" ht="14.25" customHeight="1" x14ac:dyDescent="0.25">
      <c r="D267" s="5">
        <v>50220</v>
      </c>
      <c r="E267" s="9" t="s">
        <v>220</v>
      </c>
      <c r="Q267" s="7">
        <v>-7554</v>
      </c>
    </row>
    <row r="268" spans="4:17" ht="14.25" customHeight="1" x14ac:dyDescent="0.25">
      <c r="D268" s="5">
        <v>50310</v>
      </c>
      <c r="E268" s="9" t="s">
        <v>223</v>
      </c>
      <c r="F268" s="7">
        <v>7265851</v>
      </c>
      <c r="G268" s="7">
        <v>13787105</v>
      </c>
      <c r="H268" s="7">
        <v>20394672</v>
      </c>
      <c r="I268" s="7">
        <v>26716929</v>
      </c>
      <c r="J268" s="7">
        <v>33277807</v>
      </c>
      <c r="K268" s="7">
        <v>41278797</v>
      </c>
      <c r="L268" s="7">
        <v>48679504</v>
      </c>
      <c r="M268" s="7">
        <v>57485522</v>
      </c>
      <c r="N268" s="7">
        <v>64444492</v>
      </c>
      <c r="O268" s="7">
        <v>70851530</v>
      </c>
      <c r="P268" s="7">
        <v>77947821</v>
      </c>
      <c r="Q268" s="7">
        <v>85059670</v>
      </c>
    </row>
    <row r="269" spans="4:17" ht="14.25" customHeight="1" x14ac:dyDescent="0.25">
      <c r="D269" s="5">
        <v>50316</v>
      </c>
      <c r="E269" s="9" t="s">
        <v>224</v>
      </c>
      <c r="O269" s="7">
        <v>66712</v>
      </c>
      <c r="P269" s="7">
        <v>202560</v>
      </c>
      <c r="Q269" s="7">
        <v>381320</v>
      </c>
    </row>
    <row r="270" spans="4:17" ht="14.25" customHeight="1" x14ac:dyDescent="0.25">
      <c r="D270" s="5">
        <v>50320</v>
      </c>
      <c r="E270" s="9" t="s">
        <v>225</v>
      </c>
      <c r="F270" s="7">
        <v>1577571</v>
      </c>
      <c r="G270" s="7">
        <v>2958673</v>
      </c>
      <c r="H270" s="7">
        <v>4301523</v>
      </c>
      <c r="I270" s="7">
        <v>5562607</v>
      </c>
      <c r="J270" s="7">
        <v>6711984</v>
      </c>
      <c r="K270" s="7">
        <v>8163148</v>
      </c>
      <c r="L270" s="7">
        <v>9612293</v>
      </c>
      <c r="M270" s="7">
        <v>11279836</v>
      </c>
      <c r="N270" s="7">
        <v>12964848</v>
      </c>
      <c r="O270" s="7">
        <v>14410074</v>
      </c>
      <c r="P270" s="7">
        <v>16097314</v>
      </c>
      <c r="Q270" s="7">
        <v>17715640</v>
      </c>
    </row>
    <row r="271" spans="4:17" ht="14.25" customHeight="1" x14ac:dyDescent="0.25">
      <c r="D271" s="5">
        <v>51100</v>
      </c>
      <c r="E271" s="9" t="s">
        <v>226</v>
      </c>
      <c r="F271" s="7">
        <v>1024896</v>
      </c>
      <c r="G271" s="7">
        <v>1958491</v>
      </c>
      <c r="H271" s="7">
        <v>3018195</v>
      </c>
      <c r="I271" s="7">
        <v>4020152</v>
      </c>
      <c r="J271" s="7">
        <v>5185402</v>
      </c>
      <c r="K271" s="7">
        <v>6268702</v>
      </c>
      <c r="L271" s="7">
        <v>7533940</v>
      </c>
      <c r="M271" s="7">
        <v>8796225</v>
      </c>
      <c r="N271" s="7">
        <v>10148193</v>
      </c>
      <c r="O271" s="7">
        <v>11738237</v>
      </c>
      <c r="P271" s="7">
        <v>13566022</v>
      </c>
      <c r="Q271" s="7">
        <v>15594578</v>
      </c>
    </row>
    <row r="272" spans="4:17" ht="14.25" customHeight="1" x14ac:dyDescent="0.25">
      <c r="D272" s="5">
        <v>51150</v>
      </c>
      <c r="E272" s="9" t="s">
        <v>226</v>
      </c>
      <c r="F272" s="7">
        <v>364635</v>
      </c>
      <c r="G272" s="7">
        <v>752816</v>
      </c>
      <c r="H272" s="7">
        <v>1257316</v>
      </c>
      <c r="I272" s="7">
        <v>1657549</v>
      </c>
      <c r="J272" s="7">
        <v>2205474</v>
      </c>
      <c r="K272" s="7">
        <v>2670407</v>
      </c>
      <c r="L272" s="7">
        <v>3112387</v>
      </c>
      <c r="M272" s="7">
        <v>3722723</v>
      </c>
      <c r="N272" s="7">
        <v>4439725</v>
      </c>
      <c r="O272" s="7">
        <v>5215942</v>
      </c>
      <c r="P272" s="7">
        <v>6207038</v>
      </c>
      <c r="Q272" s="7">
        <v>7041955</v>
      </c>
    </row>
    <row r="273" spans="4:17" ht="14.25" customHeight="1" x14ac:dyDescent="0.25">
      <c r="D273" s="5">
        <v>51155</v>
      </c>
      <c r="E273" s="9" t="s">
        <v>226</v>
      </c>
      <c r="F273" s="7">
        <v>63183</v>
      </c>
      <c r="G273" s="7">
        <v>125103</v>
      </c>
      <c r="H273" s="7">
        <v>204379</v>
      </c>
      <c r="I273" s="7">
        <v>279552</v>
      </c>
      <c r="J273" s="7">
        <v>347948</v>
      </c>
      <c r="K273" s="7">
        <v>436580</v>
      </c>
      <c r="L273" s="7">
        <v>513043</v>
      </c>
      <c r="M273" s="7">
        <v>592231</v>
      </c>
      <c r="N273" s="7">
        <v>738945</v>
      </c>
      <c r="O273" s="7">
        <v>868863</v>
      </c>
      <c r="P273" s="7">
        <v>1002752</v>
      </c>
      <c r="Q273" s="7">
        <v>1081176</v>
      </c>
    </row>
    <row r="274" spans="4:17" ht="14.25" customHeight="1" x14ac:dyDescent="0.25">
      <c r="D274" s="5">
        <v>51156</v>
      </c>
      <c r="E274" s="9" t="s">
        <v>226</v>
      </c>
      <c r="F274" s="7">
        <v>120855</v>
      </c>
      <c r="G274" s="7">
        <v>261603</v>
      </c>
      <c r="H274" s="7">
        <v>438568</v>
      </c>
      <c r="I274" s="7">
        <v>598720</v>
      </c>
      <c r="J274" s="7">
        <v>1019861</v>
      </c>
      <c r="K274" s="7">
        <v>1221616</v>
      </c>
      <c r="L274" s="7">
        <v>1366603</v>
      </c>
      <c r="M274" s="7">
        <v>1608482</v>
      </c>
      <c r="N274" s="7">
        <v>1779622</v>
      </c>
      <c r="O274" s="7">
        <v>1934993</v>
      </c>
      <c r="P274" s="7">
        <v>2192309</v>
      </c>
      <c r="Q274" s="7">
        <v>2370730</v>
      </c>
    </row>
    <row r="275" spans="4:17" ht="14.25" customHeight="1" x14ac:dyDescent="0.25">
      <c r="D275" s="5">
        <v>51157</v>
      </c>
      <c r="E275" s="9" t="s">
        <v>226</v>
      </c>
      <c r="I275" s="9">
        <v>324</v>
      </c>
      <c r="J275" s="9">
        <v>324</v>
      </c>
      <c r="K275" s="9">
        <v>324</v>
      </c>
      <c r="L275" s="9">
        <v>324</v>
      </c>
      <c r="M275" s="9">
        <v>648</v>
      </c>
      <c r="N275" s="9">
        <v>648</v>
      </c>
      <c r="O275" s="7">
        <v>1621</v>
      </c>
      <c r="P275" s="7">
        <v>2108</v>
      </c>
      <c r="Q275" s="7">
        <v>1811</v>
      </c>
    </row>
    <row r="276" spans="4:17" ht="14.25" customHeight="1" x14ac:dyDescent="0.25">
      <c r="D276" s="5">
        <v>51158</v>
      </c>
      <c r="E276" s="9" t="s">
        <v>227</v>
      </c>
      <c r="F276" s="7">
        <v>101850</v>
      </c>
      <c r="G276" s="7">
        <v>203550</v>
      </c>
      <c r="H276" s="7">
        <v>307200</v>
      </c>
      <c r="I276" s="7">
        <v>412200</v>
      </c>
      <c r="J276" s="7">
        <v>516750</v>
      </c>
      <c r="K276" s="7">
        <v>477166</v>
      </c>
      <c r="L276" s="7">
        <v>595748</v>
      </c>
      <c r="M276" s="7">
        <v>716198</v>
      </c>
      <c r="N276" s="7">
        <v>662756</v>
      </c>
      <c r="O276" s="7">
        <v>783836</v>
      </c>
      <c r="P276" s="7">
        <v>904916</v>
      </c>
      <c r="Q276" s="7">
        <v>823238</v>
      </c>
    </row>
    <row r="277" spans="4:17" ht="14.25" customHeight="1" x14ac:dyDescent="0.25">
      <c r="D277" s="5">
        <v>51200</v>
      </c>
      <c r="E277" s="9" t="s">
        <v>228</v>
      </c>
      <c r="F277" s="7">
        <v>176672</v>
      </c>
      <c r="G277" s="7">
        <v>362446</v>
      </c>
      <c r="H277" s="7">
        <v>571490</v>
      </c>
      <c r="I277" s="7">
        <v>752495</v>
      </c>
      <c r="J277" s="7">
        <v>965529</v>
      </c>
      <c r="K277" s="7">
        <v>1135605</v>
      </c>
      <c r="L277" s="7">
        <v>1355454</v>
      </c>
      <c r="M277" s="7">
        <v>1571983</v>
      </c>
      <c r="N277" s="7">
        <v>1784129</v>
      </c>
      <c r="O277" s="7">
        <v>2027731</v>
      </c>
      <c r="P277" s="7">
        <v>2313308</v>
      </c>
      <c r="Q277" s="7">
        <v>2618515</v>
      </c>
    </row>
    <row r="278" spans="4:17" ht="14.25" customHeight="1" x14ac:dyDescent="0.25">
      <c r="D278" s="5">
        <v>51250</v>
      </c>
      <c r="E278" s="9" t="s">
        <v>229</v>
      </c>
      <c r="F278" s="7">
        <v>85339</v>
      </c>
      <c r="G278" s="7">
        <v>176819</v>
      </c>
      <c r="H278" s="7">
        <v>287891</v>
      </c>
      <c r="I278" s="7">
        <v>366418</v>
      </c>
      <c r="J278" s="7">
        <v>469604</v>
      </c>
      <c r="K278" s="7">
        <v>563250</v>
      </c>
      <c r="L278" s="7">
        <v>655674</v>
      </c>
      <c r="M278" s="7">
        <v>772219</v>
      </c>
      <c r="N278" s="7">
        <v>894340</v>
      </c>
      <c r="O278" s="7">
        <v>1024131</v>
      </c>
      <c r="P278" s="7">
        <v>1185317</v>
      </c>
      <c r="Q278" s="7">
        <v>1325518</v>
      </c>
    </row>
    <row r="279" spans="4:17" ht="14.25" customHeight="1" x14ac:dyDescent="0.25">
      <c r="D279" s="5">
        <v>51255</v>
      </c>
      <c r="E279" s="9" t="s">
        <v>229</v>
      </c>
      <c r="F279" s="7">
        <v>11468</v>
      </c>
      <c r="G279" s="7">
        <v>22936</v>
      </c>
      <c r="H279" s="7">
        <v>34404</v>
      </c>
      <c r="I279" s="7">
        <v>45872</v>
      </c>
      <c r="J279" s="7">
        <v>57340</v>
      </c>
      <c r="K279" s="7">
        <v>71940</v>
      </c>
      <c r="L279" s="7">
        <v>83429</v>
      </c>
      <c r="M279" s="7">
        <v>96269</v>
      </c>
      <c r="N279" s="7">
        <v>115701</v>
      </c>
      <c r="O279" s="7">
        <v>137882</v>
      </c>
      <c r="P279" s="7">
        <v>159999</v>
      </c>
      <c r="Q279" s="7">
        <v>200628</v>
      </c>
    </row>
    <row r="280" spans="4:17" ht="14.25" customHeight="1" x14ac:dyDescent="0.25">
      <c r="D280" s="5">
        <v>51256</v>
      </c>
      <c r="E280" s="9" t="s">
        <v>229</v>
      </c>
      <c r="F280" s="7">
        <v>35008</v>
      </c>
      <c r="G280" s="7">
        <v>74370</v>
      </c>
      <c r="H280" s="7">
        <v>121468</v>
      </c>
      <c r="I280" s="7">
        <v>159266</v>
      </c>
      <c r="J280" s="7">
        <v>207579</v>
      </c>
      <c r="K280" s="7">
        <v>264299</v>
      </c>
      <c r="L280" s="7">
        <v>311600</v>
      </c>
      <c r="M280" s="7">
        <v>380000</v>
      </c>
      <c r="N280" s="7">
        <v>433393</v>
      </c>
      <c r="O280" s="7">
        <v>459968</v>
      </c>
      <c r="P280" s="7">
        <v>520249</v>
      </c>
      <c r="Q280" s="7">
        <v>496192</v>
      </c>
    </row>
    <row r="281" spans="4:17" ht="14.25" customHeight="1" x14ac:dyDescent="0.25">
      <c r="D281" s="5">
        <v>51511</v>
      </c>
      <c r="E281" s="9" t="s">
        <v>230</v>
      </c>
      <c r="F281" s="7">
        <v>92846</v>
      </c>
      <c r="G281" s="7">
        <v>194242</v>
      </c>
      <c r="H281" s="7">
        <v>317481</v>
      </c>
      <c r="I281" s="7">
        <v>418574</v>
      </c>
      <c r="J281" s="7">
        <v>553778</v>
      </c>
      <c r="K281" s="7">
        <v>713813</v>
      </c>
      <c r="L281" s="7">
        <v>812502</v>
      </c>
      <c r="M281" s="7">
        <v>946851</v>
      </c>
      <c r="N281" s="7">
        <v>1015361</v>
      </c>
      <c r="O281" s="7">
        <v>1220144</v>
      </c>
      <c r="P281" s="7">
        <v>1438444</v>
      </c>
      <c r="Q281" s="7">
        <v>1725796</v>
      </c>
    </row>
    <row r="282" spans="4:17" ht="14.25" customHeight="1" x14ac:dyDescent="0.25">
      <c r="D282" s="5">
        <v>51512</v>
      </c>
      <c r="E282" s="9" t="s">
        <v>231</v>
      </c>
      <c r="F282" s="7">
        <v>515944</v>
      </c>
      <c r="G282" s="7">
        <v>872260</v>
      </c>
      <c r="H282" s="7">
        <v>1187803</v>
      </c>
      <c r="I282" s="7">
        <v>1664134</v>
      </c>
      <c r="J282" s="7">
        <v>2048732</v>
      </c>
      <c r="K282" s="7">
        <v>2284420</v>
      </c>
      <c r="L282" s="7">
        <v>2717581</v>
      </c>
      <c r="M282" s="7">
        <v>3168941</v>
      </c>
      <c r="N282" s="7">
        <v>3402134</v>
      </c>
      <c r="O282" s="7">
        <v>3842779</v>
      </c>
      <c r="P282" s="7">
        <v>4286263</v>
      </c>
      <c r="Q282" s="7">
        <v>5208390</v>
      </c>
    </row>
    <row r="283" spans="4:17" ht="14.25" customHeight="1" x14ac:dyDescent="0.25">
      <c r="D283" s="5">
        <v>51513</v>
      </c>
      <c r="E283" s="9" t="s">
        <v>232</v>
      </c>
      <c r="F283" s="7">
        <v>104195</v>
      </c>
      <c r="G283" s="7">
        <v>214636</v>
      </c>
      <c r="H283" s="7">
        <v>342991</v>
      </c>
      <c r="I283" s="7">
        <v>453067</v>
      </c>
      <c r="J283" s="7">
        <v>587987</v>
      </c>
      <c r="K283" s="7">
        <v>652447</v>
      </c>
      <c r="L283" s="7">
        <v>774828</v>
      </c>
      <c r="M283" s="7">
        <v>920851</v>
      </c>
      <c r="N283" s="7">
        <v>1077466</v>
      </c>
      <c r="O283" s="7">
        <v>1254131</v>
      </c>
      <c r="P283" s="7">
        <v>1472686</v>
      </c>
      <c r="Q283" s="7">
        <v>1349204</v>
      </c>
    </row>
    <row r="284" spans="4:17" ht="14.25" customHeight="1" x14ac:dyDescent="0.25">
      <c r="D284" s="5">
        <v>51514</v>
      </c>
      <c r="E284" s="9" t="s">
        <v>233</v>
      </c>
      <c r="F284" s="7">
        <v>206929</v>
      </c>
      <c r="G284" s="7">
        <v>397054</v>
      </c>
      <c r="H284" s="7">
        <v>597448</v>
      </c>
      <c r="I284" s="7">
        <v>720365</v>
      </c>
      <c r="J284" s="7">
        <v>903075</v>
      </c>
      <c r="K284" s="7">
        <v>1059011</v>
      </c>
      <c r="L284" s="7">
        <v>1215409</v>
      </c>
      <c r="M284" s="7">
        <v>1421758</v>
      </c>
      <c r="N284" s="7">
        <v>1646111</v>
      </c>
      <c r="O284" s="7">
        <v>1898287</v>
      </c>
      <c r="P284" s="7">
        <v>2192374</v>
      </c>
      <c r="Q284" s="7">
        <v>2506796</v>
      </c>
    </row>
    <row r="285" spans="4:17" ht="14.25" customHeight="1" x14ac:dyDescent="0.25">
      <c r="D285" s="5">
        <v>51516</v>
      </c>
      <c r="E285" s="9" t="s">
        <v>234</v>
      </c>
      <c r="F285" s="7">
        <v>27118</v>
      </c>
      <c r="G285" s="7">
        <v>55440</v>
      </c>
      <c r="H285" s="7">
        <v>90976</v>
      </c>
      <c r="I285" s="7">
        <v>119902</v>
      </c>
      <c r="J285" s="7">
        <v>156519</v>
      </c>
      <c r="K285" s="7">
        <v>187462</v>
      </c>
      <c r="L285" s="7">
        <v>232783</v>
      </c>
      <c r="M285" s="7">
        <v>269920</v>
      </c>
      <c r="N285" s="7">
        <v>300253</v>
      </c>
      <c r="O285" s="7">
        <v>329712</v>
      </c>
      <c r="P285" s="7">
        <v>367917</v>
      </c>
      <c r="Q285" s="7">
        <v>423865</v>
      </c>
    </row>
    <row r="286" spans="4:17" ht="14.25" customHeight="1" x14ac:dyDescent="0.25">
      <c r="D286" s="5">
        <v>51600</v>
      </c>
      <c r="E286" s="9" t="s">
        <v>235</v>
      </c>
      <c r="F286" s="7">
        <v>710286</v>
      </c>
      <c r="G286" s="7">
        <v>1465199</v>
      </c>
      <c r="H286" s="7">
        <v>2108449</v>
      </c>
      <c r="I286" s="7">
        <v>2855940</v>
      </c>
      <c r="J286" s="7">
        <v>3547166</v>
      </c>
      <c r="K286" s="7">
        <v>4467054</v>
      </c>
      <c r="L286" s="7">
        <v>5407782</v>
      </c>
      <c r="M286" s="7">
        <v>6376690</v>
      </c>
      <c r="N286" s="7">
        <v>7360461</v>
      </c>
      <c r="O286" s="7">
        <v>8345979</v>
      </c>
      <c r="P286" s="7">
        <v>8842209</v>
      </c>
      <c r="Q286" s="7">
        <v>10357476</v>
      </c>
    </row>
    <row r="287" spans="4:17" ht="14.25" customHeight="1" x14ac:dyDescent="0.25">
      <c r="D287" s="5">
        <v>51604</v>
      </c>
      <c r="E287" s="9" t="s">
        <v>235</v>
      </c>
      <c r="F287" s="7">
        <v>14081</v>
      </c>
      <c r="G287" s="7">
        <v>90798</v>
      </c>
      <c r="H287" s="7">
        <v>70373</v>
      </c>
      <c r="I287" s="7">
        <v>135470</v>
      </c>
      <c r="J287" s="7">
        <v>226483</v>
      </c>
      <c r="K287" s="7">
        <v>284678</v>
      </c>
      <c r="L287" s="7">
        <v>346594</v>
      </c>
      <c r="M287" s="7">
        <v>431597</v>
      </c>
      <c r="N287" s="7">
        <v>512229</v>
      </c>
      <c r="O287" s="7">
        <v>618353</v>
      </c>
      <c r="P287" s="7">
        <v>693774</v>
      </c>
      <c r="Q287" s="7">
        <v>775271</v>
      </c>
    </row>
    <row r="288" spans="4:17" ht="14.25" customHeight="1" x14ac:dyDescent="0.25">
      <c r="D288" s="5">
        <v>51605</v>
      </c>
      <c r="E288" s="9" t="s">
        <v>235</v>
      </c>
      <c r="F288" s="7">
        <v>21333</v>
      </c>
      <c r="G288" s="7">
        <v>42667</v>
      </c>
      <c r="H288" s="7">
        <v>64000</v>
      </c>
      <c r="I288" s="7">
        <v>85333</v>
      </c>
      <c r="J288" s="7">
        <v>106667</v>
      </c>
      <c r="K288" s="7">
        <v>121982</v>
      </c>
      <c r="L288" s="7">
        <v>137297</v>
      </c>
      <c r="M288" s="7">
        <v>152612</v>
      </c>
      <c r="N288" s="7">
        <v>167927</v>
      </c>
      <c r="O288" s="7">
        <v>183242</v>
      </c>
      <c r="P288" s="7">
        <v>198557</v>
      </c>
      <c r="Q288" s="7">
        <v>243656</v>
      </c>
    </row>
    <row r="289" spans="4:17" ht="14.25" customHeight="1" x14ac:dyDescent="0.25">
      <c r="D289" s="5">
        <v>51607</v>
      </c>
      <c r="E289" s="9" t="s">
        <v>235</v>
      </c>
      <c r="F289" s="7">
        <v>4495</v>
      </c>
      <c r="G289" s="7">
        <v>33144</v>
      </c>
      <c r="H289" s="7">
        <v>47494</v>
      </c>
      <c r="I289" s="7">
        <v>47494</v>
      </c>
      <c r="J289" s="7">
        <v>47494</v>
      </c>
      <c r="K289" s="7">
        <v>47494</v>
      </c>
      <c r="L289" s="7">
        <v>47494</v>
      </c>
      <c r="M289" s="7">
        <v>47494</v>
      </c>
      <c r="N289" s="7">
        <v>47494</v>
      </c>
      <c r="O289" s="7">
        <v>47494</v>
      </c>
      <c r="P289" s="7">
        <v>47494</v>
      </c>
      <c r="Q289" s="7">
        <v>47494</v>
      </c>
    </row>
    <row r="290" spans="4:17" ht="14.25" customHeight="1" x14ac:dyDescent="0.25">
      <c r="D290" s="5">
        <v>51608</v>
      </c>
      <c r="E290" s="9" t="s">
        <v>235</v>
      </c>
      <c r="F290" s="7">
        <v>1654824</v>
      </c>
      <c r="G290" s="7">
        <v>3315656</v>
      </c>
      <c r="H290" s="7">
        <v>5274734</v>
      </c>
      <c r="I290" s="7">
        <v>7232039</v>
      </c>
      <c r="J290" s="7">
        <v>9304793</v>
      </c>
      <c r="K290" s="7">
        <v>11614405</v>
      </c>
      <c r="L290" s="7">
        <v>14069202</v>
      </c>
      <c r="M290" s="7">
        <v>16509162</v>
      </c>
      <c r="N290" s="7">
        <v>19775756</v>
      </c>
      <c r="O290" s="7">
        <v>22080406</v>
      </c>
      <c r="P290" s="7">
        <v>24589232</v>
      </c>
      <c r="Q290" s="7">
        <v>27238761</v>
      </c>
    </row>
    <row r="291" spans="4:17" ht="14.25" customHeight="1" x14ac:dyDescent="0.25">
      <c r="D291" s="5">
        <v>51609</v>
      </c>
      <c r="E291" s="9" t="s">
        <v>235</v>
      </c>
      <c r="I291" s="7">
        <v>3874</v>
      </c>
      <c r="J291" s="7">
        <v>2803</v>
      </c>
      <c r="K291" s="7">
        <v>23334</v>
      </c>
      <c r="L291" s="7">
        <v>23334</v>
      </c>
      <c r="M291" s="7">
        <v>28825</v>
      </c>
      <c r="N291" s="7">
        <v>28825</v>
      </c>
      <c r="O291" s="7">
        <v>28825</v>
      </c>
      <c r="P291" s="7">
        <v>28825</v>
      </c>
      <c r="Q291" s="7">
        <v>36086</v>
      </c>
    </row>
    <row r="292" spans="4:17" ht="14.25" customHeight="1" x14ac:dyDescent="0.25">
      <c r="D292" s="5">
        <v>51611</v>
      </c>
      <c r="E292" s="9" t="s">
        <v>235</v>
      </c>
      <c r="F292" s="7">
        <v>29174</v>
      </c>
      <c r="G292" s="7">
        <v>61652</v>
      </c>
      <c r="H292" s="7">
        <v>87621</v>
      </c>
      <c r="I292" s="7">
        <v>175419</v>
      </c>
      <c r="J292" s="7">
        <v>182854</v>
      </c>
      <c r="K292" s="7">
        <v>225527</v>
      </c>
      <c r="L292" s="7">
        <v>259207</v>
      </c>
      <c r="M292" s="7">
        <v>316902</v>
      </c>
      <c r="N292" s="7">
        <v>347398</v>
      </c>
      <c r="O292" s="7">
        <v>359224</v>
      </c>
      <c r="P292" s="7">
        <v>401489</v>
      </c>
      <c r="Q292" s="7">
        <v>475787</v>
      </c>
    </row>
    <row r="293" spans="4:17" ht="14.25" customHeight="1" x14ac:dyDescent="0.25">
      <c r="D293" s="5">
        <v>52116</v>
      </c>
      <c r="E293" s="9" t="s">
        <v>236</v>
      </c>
      <c r="F293" s="7">
        <v>-9444</v>
      </c>
      <c r="G293" s="7">
        <v>-9444</v>
      </c>
      <c r="H293" s="7">
        <v>-9444</v>
      </c>
      <c r="I293" s="7">
        <v>-9444</v>
      </c>
      <c r="J293" s="7">
        <v>-9444</v>
      </c>
      <c r="K293" s="7">
        <v>-9444</v>
      </c>
      <c r="L293" s="7">
        <v>-9444</v>
      </c>
      <c r="M293" s="7">
        <v>-9444</v>
      </c>
      <c r="N293" s="7">
        <v>-9444</v>
      </c>
      <c r="O293" s="7">
        <v>-9444</v>
      </c>
      <c r="P293" s="7">
        <v>-9444</v>
      </c>
      <c r="Q293" s="7">
        <v>-9444</v>
      </c>
    </row>
    <row r="294" spans="4:17" ht="14.25" customHeight="1" x14ac:dyDescent="0.25">
      <c r="D294" s="5">
        <v>53100</v>
      </c>
      <c r="E294" s="9" t="s">
        <v>237</v>
      </c>
      <c r="F294" s="7">
        <v>636407</v>
      </c>
      <c r="G294" s="7">
        <v>1313371</v>
      </c>
      <c r="H294" s="7">
        <v>1940804</v>
      </c>
      <c r="I294" s="7">
        <v>2595656</v>
      </c>
      <c r="J294" s="7">
        <v>3251464</v>
      </c>
      <c r="K294" s="7">
        <v>3932097</v>
      </c>
      <c r="L294" s="7">
        <v>4653876</v>
      </c>
      <c r="M294" s="7">
        <v>5442153</v>
      </c>
      <c r="N294" s="7">
        <v>6324734</v>
      </c>
      <c r="O294" s="7">
        <v>7274026</v>
      </c>
      <c r="P294" s="7">
        <v>8188903</v>
      </c>
      <c r="Q294" s="7">
        <v>9274009</v>
      </c>
    </row>
    <row r="295" spans="4:17" ht="14.25" customHeight="1" x14ac:dyDescent="0.25">
      <c r="D295" s="5">
        <v>53200</v>
      </c>
      <c r="E295" s="9" t="s">
        <v>238</v>
      </c>
      <c r="F295" s="7">
        <v>774338</v>
      </c>
      <c r="G295" s="7">
        <v>1688963</v>
      </c>
      <c r="H295" s="7">
        <v>2463262</v>
      </c>
      <c r="I295" s="7">
        <v>3497453</v>
      </c>
      <c r="J295" s="7">
        <v>4559790</v>
      </c>
      <c r="K295" s="7">
        <v>5550638</v>
      </c>
      <c r="L295" s="7">
        <v>6476394</v>
      </c>
      <c r="M295" s="7">
        <v>7197670</v>
      </c>
      <c r="N295" s="7">
        <v>8326845</v>
      </c>
      <c r="O295" s="7">
        <v>9680250</v>
      </c>
      <c r="P295" s="7">
        <v>11222861</v>
      </c>
      <c r="Q295" s="7">
        <v>12946658</v>
      </c>
    </row>
    <row r="296" spans="4:17" ht="14.25" customHeight="1" x14ac:dyDescent="0.25">
      <c r="D296" s="5">
        <v>54200</v>
      </c>
      <c r="E296" s="9" t="s">
        <v>239</v>
      </c>
      <c r="F296" s="7">
        <v>165847</v>
      </c>
      <c r="G296" s="7">
        <v>394131</v>
      </c>
      <c r="H296" s="7">
        <v>602407</v>
      </c>
      <c r="I296" s="7">
        <v>822670</v>
      </c>
      <c r="J296" s="7">
        <v>1039008</v>
      </c>
      <c r="K296" s="7">
        <v>1262307</v>
      </c>
      <c r="L296" s="7">
        <v>1420990</v>
      </c>
      <c r="M296" s="7">
        <v>1559215</v>
      </c>
      <c r="N296" s="7">
        <v>1691667</v>
      </c>
      <c r="O296" s="7">
        <v>1850264</v>
      </c>
      <c r="P296" s="7">
        <v>1999592</v>
      </c>
      <c r="Q296" s="7">
        <v>2187607</v>
      </c>
    </row>
    <row r="297" spans="4:17" ht="14.25" customHeight="1" x14ac:dyDescent="0.25">
      <c r="D297" s="5">
        <v>54210</v>
      </c>
      <c r="E297" s="9" t="s">
        <v>240</v>
      </c>
      <c r="F297" s="7">
        <v>10819</v>
      </c>
      <c r="G297" s="7">
        <v>18239</v>
      </c>
      <c r="H297" s="7">
        <v>30261</v>
      </c>
      <c r="I297" s="7">
        <v>54394</v>
      </c>
      <c r="J297" s="7">
        <v>59758</v>
      </c>
      <c r="K297" s="7">
        <v>67879</v>
      </c>
      <c r="L297" s="7">
        <v>69635</v>
      </c>
      <c r="M297" s="7">
        <v>69902</v>
      </c>
      <c r="N297" s="7">
        <v>76388</v>
      </c>
      <c r="O297" s="7">
        <v>87010</v>
      </c>
      <c r="P297" s="7">
        <v>91340</v>
      </c>
      <c r="Q297" s="7">
        <v>111531</v>
      </c>
    </row>
    <row r="298" spans="4:17" ht="14.25" customHeight="1" x14ac:dyDescent="0.25">
      <c r="D298" s="5">
        <v>54300</v>
      </c>
      <c r="E298" s="9" t="s">
        <v>241</v>
      </c>
      <c r="F298" s="7">
        <v>71126</v>
      </c>
      <c r="G298" s="7">
        <v>123914</v>
      </c>
      <c r="H298" s="7">
        <v>183584</v>
      </c>
      <c r="I298" s="7">
        <v>247795</v>
      </c>
      <c r="J298" s="7">
        <v>327890</v>
      </c>
      <c r="K298" s="7">
        <v>389683</v>
      </c>
      <c r="L298" s="7">
        <v>467095</v>
      </c>
      <c r="M298" s="7">
        <v>529521</v>
      </c>
      <c r="N298" s="7">
        <v>562296</v>
      </c>
      <c r="O298" s="7">
        <v>617007</v>
      </c>
      <c r="P298" s="7">
        <v>669839</v>
      </c>
      <c r="Q298" s="7">
        <v>715171</v>
      </c>
    </row>
    <row r="299" spans="4:17" ht="14.25" customHeight="1" x14ac:dyDescent="0.25">
      <c r="D299" s="5">
        <v>54400</v>
      </c>
      <c r="E299" s="9" t="s">
        <v>219</v>
      </c>
      <c r="F299" s="7">
        <v>11675</v>
      </c>
      <c r="G299" s="7">
        <v>33436</v>
      </c>
      <c r="H299" s="7">
        <v>55460</v>
      </c>
      <c r="I299" s="7">
        <v>57066</v>
      </c>
      <c r="J299" s="7">
        <v>67694</v>
      </c>
      <c r="K299" s="7">
        <v>87201</v>
      </c>
      <c r="L299" s="7">
        <v>101020</v>
      </c>
      <c r="M299" s="7">
        <v>102758</v>
      </c>
      <c r="N299" s="7">
        <v>111989</v>
      </c>
      <c r="O299" s="7">
        <v>112896</v>
      </c>
      <c r="P299" s="7">
        <v>112490</v>
      </c>
      <c r="Q299" s="7">
        <v>114983</v>
      </c>
    </row>
    <row r="300" spans="4:17" ht="14.25" customHeight="1" x14ac:dyDescent="0.25">
      <c r="D300" s="5">
        <v>55100</v>
      </c>
      <c r="E300" s="9" t="s">
        <v>242</v>
      </c>
      <c r="F300" s="7">
        <v>180150</v>
      </c>
      <c r="G300" s="7">
        <v>417653</v>
      </c>
      <c r="H300" s="7">
        <v>557712</v>
      </c>
      <c r="I300" s="7">
        <v>748470</v>
      </c>
      <c r="J300" s="7">
        <v>949061</v>
      </c>
      <c r="K300" s="7">
        <v>1212040</v>
      </c>
      <c r="L300" s="7">
        <v>1457785</v>
      </c>
      <c r="M300" s="7">
        <v>1788174</v>
      </c>
      <c r="N300" s="7">
        <v>2145290</v>
      </c>
      <c r="O300" s="7">
        <v>2404324</v>
      </c>
      <c r="P300" s="7">
        <v>2686355</v>
      </c>
      <c r="Q300" s="7">
        <v>3130914</v>
      </c>
    </row>
    <row r="301" spans="4:17" ht="14.25" customHeight="1" x14ac:dyDescent="0.25">
      <c r="D301" s="5">
        <v>55110</v>
      </c>
      <c r="E301" s="9" t="s">
        <v>243</v>
      </c>
      <c r="F301" s="7">
        <v>110222</v>
      </c>
      <c r="G301" s="7">
        <v>160290</v>
      </c>
      <c r="H301" s="7">
        <v>273150</v>
      </c>
      <c r="I301" s="7">
        <v>329403</v>
      </c>
      <c r="J301" s="7">
        <v>411471</v>
      </c>
      <c r="K301" s="7">
        <v>539994</v>
      </c>
      <c r="L301" s="7">
        <v>762441</v>
      </c>
      <c r="M301" s="7">
        <v>890890</v>
      </c>
      <c r="N301" s="7">
        <v>1094304</v>
      </c>
      <c r="O301" s="7">
        <v>1256321</v>
      </c>
      <c r="P301" s="7">
        <v>1440607</v>
      </c>
      <c r="Q301" s="7">
        <v>1609270</v>
      </c>
    </row>
    <row r="302" spans="4:17" ht="14.25" customHeight="1" x14ac:dyDescent="0.25">
      <c r="D302" s="5">
        <v>55120</v>
      </c>
      <c r="E302" s="9" t="s">
        <v>243</v>
      </c>
      <c r="G302" s="7">
        <v>3548</v>
      </c>
      <c r="H302" s="7">
        <v>3548</v>
      </c>
      <c r="I302" s="7">
        <v>3548</v>
      </c>
      <c r="J302" s="7">
        <v>7095</v>
      </c>
      <c r="K302" s="7">
        <v>22621</v>
      </c>
      <c r="L302" s="7">
        <v>24976</v>
      </c>
      <c r="M302" s="7">
        <v>28823</v>
      </c>
      <c r="N302" s="7">
        <v>32622</v>
      </c>
      <c r="O302" s="7">
        <v>36171</v>
      </c>
      <c r="P302" s="7">
        <v>36419</v>
      </c>
      <c r="Q302" s="7">
        <v>40217</v>
      </c>
    </row>
    <row r="303" spans="4:17" ht="14.25" customHeight="1" x14ac:dyDescent="0.25">
      <c r="D303" s="5">
        <v>55130</v>
      </c>
      <c r="E303" s="9" t="s">
        <v>243</v>
      </c>
      <c r="J303" s="9">
        <v>-550</v>
      </c>
      <c r="K303" s="9">
        <v>-550</v>
      </c>
      <c r="L303" s="9">
        <v>-550</v>
      </c>
      <c r="M303" s="9">
        <v>-550</v>
      </c>
      <c r="N303" s="9">
        <v>-550</v>
      </c>
      <c r="O303" s="9">
        <v>-550</v>
      </c>
      <c r="P303" s="9">
        <v>-550</v>
      </c>
      <c r="Q303" s="9">
        <v>-550</v>
      </c>
    </row>
    <row r="304" spans="4:17" ht="14.25" customHeight="1" x14ac:dyDescent="0.25">
      <c r="D304" s="5">
        <v>55140</v>
      </c>
      <c r="E304" s="9" t="s">
        <v>243</v>
      </c>
      <c r="F304" s="7">
        <v>13499</v>
      </c>
      <c r="G304" s="7">
        <v>32539</v>
      </c>
      <c r="H304" s="7">
        <v>57422</v>
      </c>
      <c r="I304" s="7">
        <v>112537</v>
      </c>
      <c r="J304" s="7">
        <v>138630</v>
      </c>
      <c r="K304" s="7">
        <v>165033</v>
      </c>
      <c r="L304" s="7">
        <v>232159</v>
      </c>
      <c r="M304" s="7">
        <v>288266</v>
      </c>
      <c r="N304" s="7">
        <v>340734</v>
      </c>
      <c r="O304" s="7">
        <v>385586</v>
      </c>
      <c r="P304" s="7">
        <v>425220</v>
      </c>
      <c r="Q304" s="7">
        <v>449306</v>
      </c>
    </row>
    <row r="305" spans="4:17" ht="14.25" customHeight="1" x14ac:dyDescent="0.25">
      <c r="D305" s="5">
        <v>55200</v>
      </c>
      <c r="E305" s="9" t="s">
        <v>244</v>
      </c>
      <c r="F305" s="7">
        <v>338624</v>
      </c>
      <c r="G305" s="7">
        <v>618092</v>
      </c>
      <c r="H305" s="7">
        <v>937955</v>
      </c>
      <c r="I305" s="7">
        <v>1295746</v>
      </c>
      <c r="J305" s="7">
        <v>1599604</v>
      </c>
      <c r="K305" s="7">
        <v>1891751</v>
      </c>
      <c r="L305" s="7">
        <v>2267204</v>
      </c>
      <c r="M305" s="7">
        <v>2608371</v>
      </c>
      <c r="N305" s="7">
        <v>3085879</v>
      </c>
      <c r="O305" s="7">
        <v>3563051</v>
      </c>
      <c r="P305" s="7">
        <v>4069092</v>
      </c>
      <c r="Q305" s="7">
        <v>4543469</v>
      </c>
    </row>
    <row r="306" spans="4:17" ht="14.25" customHeight="1" x14ac:dyDescent="0.25">
      <c r="D306" s="5">
        <v>55300</v>
      </c>
      <c r="E306" s="9" t="s">
        <v>245</v>
      </c>
      <c r="F306" s="7">
        <v>286473</v>
      </c>
      <c r="G306" s="7">
        <v>441150</v>
      </c>
      <c r="H306" s="7">
        <v>607163</v>
      </c>
      <c r="I306" s="7">
        <v>857619</v>
      </c>
      <c r="J306" s="7">
        <v>1279011</v>
      </c>
      <c r="K306" s="7">
        <v>1619629</v>
      </c>
      <c r="L306" s="7">
        <v>1914258</v>
      </c>
      <c r="M306" s="7">
        <v>2267673</v>
      </c>
      <c r="N306" s="7">
        <v>2718356</v>
      </c>
      <c r="O306" s="7">
        <v>3253208</v>
      </c>
      <c r="P306" s="7">
        <v>3593098</v>
      </c>
      <c r="Q306" s="7">
        <v>3958002</v>
      </c>
    </row>
    <row r="307" spans="4:17" ht="14.25" customHeight="1" x14ac:dyDescent="0.25">
      <c r="D307" s="5">
        <v>56000</v>
      </c>
      <c r="E307" s="9" t="s">
        <v>246</v>
      </c>
      <c r="F307" s="7">
        <v>1567933</v>
      </c>
      <c r="G307" s="7">
        <v>3268959</v>
      </c>
      <c r="H307" s="7">
        <v>4867749</v>
      </c>
      <c r="I307" s="7">
        <v>6265040</v>
      </c>
      <c r="J307" s="7">
        <v>7828637</v>
      </c>
      <c r="K307" s="7">
        <v>9378168</v>
      </c>
      <c r="L307" s="7">
        <v>11251498</v>
      </c>
      <c r="M307" s="7">
        <v>12649559</v>
      </c>
      <c r="N307" s="7">
        <v>14686600</v>
      </c>
      <c r="O307" s="7">
        <v>16720936</v>
      </c>
      <c r="P307" s="7">
        <v>19157903</v>
      </c>
      <c r="Q307" s="7">
        <v>22348859</v>
      </c>
    </row>
    <row r="308" spans="4:17" ht="14.25" customHeight="1" x14ac:dyDescent="0.25">
      <c r="D308" s="5">
        <v>56010</v>
      </c>
      <c r="E308" s="9" t="s">
        <v>247</v>
      </c>
      <c r="J308" s="9">
        <v>156</v>
      </c>
      <c r="K308" s="9">
        <v>156</v>
      </c>
      <c r="L308" s="9">
        <v>156</v>
      </c>
      <c r="M308" s="9">
        <v>156</v>
      </c>
      <c r="N308" s="9">
        <v>203</v>
      </c>
      <c r="O308" s="9">
        <v>897</v>
      </c>
      <c r="P308" s="9">
        <v>897</v>
      </c>
      <c r="Q308" s="9">
        <v>897</v>
      </c>
    </row>
    <row r="309" spans="4:17" ht="14.25" customHeight="1" x14ac:dyDescent="0.25">
      <c r="D309" s="5">
        <v>56015</v>
      </c>
      <c r="E309" s="9" t="s">
        <v>248</v>
      </c>
      <c r="F309" s="7">
        <v>3951</v>
      </c>
      <c r="G309" s="7">
        <v>3951</v>
      </c>
      <c r="H309" s="7">
        <v>22927</v>
      </c>
      <c r="I309" s="7">
        <v>25857</v>
      </c>
      <c r="J309" s="7">
        <v>42334</v>
      </c>
      <c r="K309" s="7">
        <v>50263</v>
      </c>
      <c r="L309" s="7">
        <v>76907</v>
      </c>
      <c r="M309" s="7">
        <v>80209</v>
      </c>
      <c r="N309" s="7">
        <v>91783</v>
      </c>
      <c r="O309" s="7">
        <v>117887</v>
      </c>
      <c r="P309" s="7">
        <v>126115</v>
      </c>
      <c r="Q309" s="7">
        <v>154165</v>
      </c>
    </row>
    <row r="310" spans="4:17" ht="14.25" customHeight="1" x14ac:dyDescent="0.25">
      <c r="D310" s="5">
        <v>56025</v>
      </c>
      <c r="E310" s="9" t="s">
        <v>249</v>
      </c>
      <c r="F310" s="7">
        <v>13890</v>
      </c>
      <c r="G310" s="7">
        <v>37631</v>
      </c>
      <c r="H310" s="7">
        <v>43199</v>
      </c>
      <c r="I310" s="7">
        <v>49382</v>
      </c>
      <c r="J310" s="7">
        <v>76321</v>
      </c>
      <c r="K310" s="7">
        <v>97431</v>
      </c>
      <c r="L310" s="7">
        <v>103706</v>
      </c>
      <c r="M310" s="7">
        <v>124023</v>
      </c>
      <c r="N310" s="7">
        <v>131741</v>
      </c>
      <c r="O310" s="7">
        <v>148241</v>
      </c>
      <c r="P310" s="7">
        <v>152208</v>
      </c>
      <c r="Q310" s="7">
        <v>156960</v>
      </c>
    </row>
    <row r="311" spans="4:17" ht="14.25" customHeight="1" x14ac:dyDescent="0.25">
      <c r="D311" s="5">
        <v>57100</v>
      </c>
      <c r="E311" s="9" t="s">
        <v>250</v>
      </c>
      <c r="F311" s="7">
        <v>181406</v>
      </c>
      <c r="G311" s="7">
        <v>360266</v>
      </c>
      <c r="H311" s="7">
        <v>608373</v>
      </c>
      <c r="I311" s="7">
        <v>861076</v>
      </c>
      <c r="J311" s="7">
        <v>1162479</v>
      </c>
      <c r="K311" s="7">
        <v>1458921</v>
      </c>
      <c r="L311" s="7">
        <v>1753991</v>
      </c>
      <c r="M311" s="7">
        <v>2053232</v>
      </c>
      <c r="N311" s="7">
        <v>2350531</v>
      </c>
      <c r="O311" s="7">
        <v>2676357</v>
      </c>
      <c r="P311" s="7">
        <v>2951950</v>
      </c>
      <c r="Q311" s="7">
        <v>3178707</v>
      </c>
    </row>
    <row r="312" spans="4:17" ht="14.25" customHeight="1" x14ac:dyDescent="0.25">
      <c r="D312" s="5">
        <v>57200</v>
      </c>
      <c r="E312" s="9" t="s">
        <v>251</v>
      </c>
      <c r="F312" s="7">
        <v>100301</v>
      </c>
      <c r="G312" s="7">
        <v>209239</v>
      </c>
      <c r="H312" s="7">
        <v>320664</v>
      </c>
      <c r="I312" s="7">
        <v>452353</v>
      </c>
      <c r="J312" s="7">
        <v>575059</v>
      </c>
      <c r="K312" s="7">
        <v>685757</v>
      </c>
      <c r="L312" s="7">
        <v>1274359</v>
      </c>
      <c r="M312" s="7">
        <v>1809613</v>
      </c>
      <c r="N312" s="7">
        <v>2229741</v>
      </c>
      <c r="O312" s="7">
        <v>2710946</v>
      </c>
      <c r="P312" s="7">
        <v>2906849</v>
      </c>
      <c r="Q312" s="7">
        <v>1817626</v>
      </c>
    </row>
    <row r="313" spans="4:17" ht="14.25" customHeight="1" x14ac:dyDescent="0.25">
      <c r="D313" s="5">
        <v>57300</v>
      </c>
      <c r="E313" s="9" t="s">
        <v>252</v>
      </c>
      <c r="F313" s="7">
        <v>21260</v>
      </c>
      <c r="G313" s="7">
        <v>44084</v>
      </c>
      <c r="H313" s="7">
        <v>66364</v>
      </c>
      <c r="I313" s="7">
        <v>91131</v>
      </c>
      <c r="J313" s="7">
        <v>109899</v>
      </c>
      <c r="K313" s="7">
        <v>156556</v>
      </c>
      <c r="L313" s="7">
        <v>177441</v>
      </c>
      <c r="M313" s="7">
        <v>196270</v>
      </c>
      <c r="N313" s="7">
        <v>225163</v>
      </c>
      <c r="O313" s="7">
        <v>240741</v>
      </c>
      <c r="P313" s="7">
        <v>263740</v>
      </c>
      <c r="Q313" s="7">
        <v>282800</v>
      </c>
    </row>
    <row r="314" spans="4:17" ht="14.25" customHeight="1" x14ac:dyDescent="0.25">
      <c r="D314" s="5">
        <v>57500</v>
      </c>
      <c r="E314" s="9" t="s">
        <v>253</v>
      </c>
      <c r="F314" s="9">
        <v>75</v>
      </c>
      <c r="G314" s="9">
        <v>75</v>
      </c>
      <c r="H314" s="9">
        <v>178</v>
      </c>
      <c r="I314" s="9">
        <v>478</v>
      </c>
      <c r="J314" s="9">
        <v>478</v>
      </c>
      <c r="K314" s="9">
        <v>478</v>
      </c>
      <c r="L314" s="9">
        <v>478</v>
      </c>
      <c r="M314" s="9">
        <v>478</v>
      </c>
      <c r="N314" s="9">
        <v>478</v>
      </c>
      <c r="O314" s="9">
        <v>478</v>
      </c>
      <c r="P314" s="9">
        <v>478</v>
      </c>
      <c r="Q314" s="9">
        <v>478</v>
      </c>
    </row>
    <row r="315" spans="4:17" ht="14.25" customHeight="1" x14ac:dyDescent="0.25">
      <c r="D315" s="5">
        <v>57510</v>
      </c>
      <c r="E315" s="9" t="s">
        <v>254</v>
      </c>
      <c r="F315" s="7">
        <v>9651</v>
      </c>
      <c r="G315" s="7">
        <v>14479</v>
      </c>
      <c r="H315" s="7">
        <v>19414</v>
      </c>
      <c r="I315" s="7">
        <v>21120</v>
      </c>
      <c r="J315" s="7">
        <v>25817</v>
      </c>
      <c r="K315" s="7">
        <v>27471</v>
      </c>
      <c r="L315" s="7">
        <v>30643</v>
      </c>
      <c r="M315" s="7">
        <v>37554</v>
      </c>
      <c r="N315" s="7">
        <v>40077</v>
      </c>
      <c r="O315" s="7">
        <v>65235</v>
      </c>
      <c r="P315" s="7">
        <v>76303</v>
      </c>
      <c r="Q315" s="7">
        <v>83455</v>
      </c>
    </row>
    <row r="316" spans="4:17" ht="14.25" customHeight="1" x14ac:dyDescent="0.25">
      <c r="D316" s="5">
        <v>57515</v>
      </c>
      <c r="E316" s="9" t="s">
        <v>255</v>
      </c>
      <c r="F316" s="7">
        <v>7971</v>
      </c>
      <c r="G316" s="7">
        <v>16864</v>
      </c>
      <c r="H316" s="7">
        <v>25240</v>
      </c>
      <c r="I316" s="7">
        <v>35286</v>
      </c>
      <c r="J316" s="7">
        <v>45375</v>
      </c>
      <c r="K316" s="7">
        <v>57947</v>
      </c>
      <c r="L316" s="7">
        <v>62443</v>
      </c>
      <c r="M316" s="7">
        <v>69852</v>
      </c>
      <c r="N316" s="7">
        <v>74386</v>
      </c>
      <c r="O316" s="7">
        <v>97956</v>
      </c>
      <c r="P316" s="7">
        <v>109235</v>
      </c>
      <c r="Q316" s="7">
        <v>122598</v>
      </c>
    </row>
    <row r="317" spans="4:17" ht="14.25" customHeight="1" x14ac:dyDescent="0.25">
      <c r="D317" s="5">
        <v>57520</v>
      </c>
      <c r="E317" s="9" t="s">
        <v>256</v>
      </c>
      <c r="F317" s="7">
        <v>15580</v>
      </c>
      <c r="G317" s="7">
        <v>28046</v>
      </c>
      <c r="H317" s="7">
        <v>40809</v>
      </c>
      <c r="I317" s="7">
        <v>53557</v>
      </c>
      <c r="J317" s="7">
        <v>75541</v>
      </c>
      <c r="K317" s="7">
        <v>94129</v>
      </c>
      <c r="L317" s="7">
        <v>113458</v>
      </c>
      <c r="M317" s="7">
        <v>130839</v>
      </c>
      <c r="N317" s="7">
        <v>149804</v>
      </c>
      <c r="O317" s="7">
        <v>182318</v>
      </c>
      <c r="P317" s="7">
        <v>200237</v>
      </c>
      <c r="Q317" s="7">
        <v>225480</v>
      </c>
    </row>
    <row r="318" spans="4:17" ht="14.25" customHeight="1" x14ac:dyDescent="0.25">
      <c r="D318" s="5">
        <v>57530</v>
      </c>
      <c r="E318" s="9" t="s">
        <v>257</v>
      </c>
      <c r="F318" s="7">
        <v>10716</v>
      </c>
      <c r="G318" s="7">
        <v>21433</v>
      </c>
      <c r="H318" s="7">
        <v>32149</v>
      </c>
      <c r="I318" s="7">
        <v>42865</v>
      </c>
      <c r="J318" s="7">
        <v>53764</v>
      </c>
      <c r="K318" s="7">
        <v>64663</v>
      </c>
      <c r="L318" s="7">
        <v>75562</v>
      </c>
      <c r="M318" s="7">
        <v>86934</v>
      </c>
      <c r="N318" s="7">
        <v>100235</v>
      </c>
      <c r="O318" s="7">
        <v>118761</v>
      </c>
      <c r="P318" s="7">
        <v>140118</v>
      </c>
      <c r="Q318" s="7">
        <v>159774</v>
      </c>
    </row>
    <row r="319" spans="4:17" ht="14.25" customHeight="1" x14ac:dyDescent="0.25">
      <c r="D319" s="5">
        <v>57540</v>
      </c>
      <c r="E319" s="9" t="s">
        <v>258</v>
      </c>
      <c r="F319" s="7">
        <v>3483</v>
      </c>
      <c r="G319" s="7">
        <v>7525</v>
      </c>
      <c r="H319" s="7">
        <v>36991</v>
      </c>
      <c r="I319" s="7">
        <v>40720</v>
      </c>
      <c r="J319" s="7">
        <v>50113</v>
      </c>
      <c r="K319" s="7">
        <v>54366</v>
      </c>
      <c r="L319" s="7">
        <v>65670</v>
      </c>
      <c r="M319" s="7">
        <v>73099</v>
      </c>
      <c r="N319" s="7">
        <v>76366</v>
      </c>
      <c r="O319" s="7">
        <v>88301</v>
      </c>
      <c r="P319" s="7">
        <v>96197</v>
      </c>
      <c r="Q319" s="7">
        <v>113167</v>
      </c>
    </row>
    <row r="320" spans="4:17" ht="14.25" customHeight="1" x14ac:dyDescent="0.25">
      <c r="D320" s="5">
        <v>57550</v>
      </c>
      <c r="E320" s="9" t="s">
        <v>259</v>
      </c>
      <c r="F320" s="7">
        <v>1588</v>
      </c>
      <c r="G320" s="7">
        <v>2265</v>
      </c>
      <c r="H320" s="7">
        <v>3420</v>
      </c>
      <c r="I320" s="7">
        <v>7768</v>
      </c>
      <c r="J320" s="7">
        <v>10781</v>
      </c>
      <c r="K320" s="7">
        <v>11292</v>
      </c>
      <c r="L320" s="7">
        <v>11517</v>
      </c>
      <c r="M320" s="7">
        <v>11517</v>
      </c>
      <c r="N320" s="7">
        <v>11932</v>
      </c>
      <c r="O320" s="7">
        <v>12461</v>
      </c>
      <c r="P320" s="7">
        <v>9611</v>
      </c>
      <c r="Q320" s="7">
        <v>9881</v>
      </c>
    </row>
    <row r="321" spans="4:17" ht="14.25" customHeight="1" x14ac:dyDescent="0.25">
      <c r="D321" s="5">
        <v>57600</v>
      </c>
      <c r="E321" s="9" t="s">
        <v>260</v>
      </c>
      <c r="F321" s="7">
        <v>28526</v>
      </c>
      <c r="G321" s="7">
        <v>47586</v>
      </c>
      <c r="H321" s="7">
        <v>74442</v>
      </c>
      <c r="I321" s="7">
        <v>98170</v>
      </c>
      <c r="J321" s="7">
        <v>111308</v>
      </c>
      <c r="K321" s="7">
        <v>129403</v>
      </c>
      <c r="L321" s="7">
        <v>171288</v>
      </c>
      <c r="M321" s="7">
        <v>204308</v>
      </c>
      <c r="N321" s="7">
        <v>228721</v>
      </c>
      <c r="O321" s="7">
        <v>271249</v>
      </c>
      <c r="P321" s="7">
        <v>325569</v>
      </c>
      <c r="Q321" s="7">
        <v>358841</v>
      </c>
    </row>
    <row r="322" spans="4:17" ht="14.25" customHeight="1" x14ac:dyDescent="0.25">
      <c r="D322" s="5">
        <v>57610</v>
      </c>
      <c r="E322" s="9" t="s">
        <v>261</v>
      </c>
      <c r="F322" s="9">
        <v>354</v>
      </c>
      <c r="G322" s="9">
        <v>435</v>
      </c>
      <c r="H322" s="9">
        <v>435</v>
      </c>
      <c r="I322" s="9">
        <v>610</v>
      </c>
      <c r="J322" s="9">
        <v>623</v>
      </c>
      <c r="K322" s="7">
        <v>1089</v>
      </c>
      <c r="L322" s="7">
        <v>1594</v>
      </c>
      <c r="M322" s="7">
        <v>1761</v>
      </c>
      <c r="N322" s="7">
        <v>1761</v>
      </c>
      <c r="O322" s="7">
        <v>2317</v>
      </c>
      <c r="P322" s="7">
        <v>2357</v>
      </c>
      <c r="Q322" s="7">
        <v>3697</v>
      </c>
    </row>
    <row r="323" spans="4:17" ht="14.25" customHeight="1" x14ac:dyDescent="0.25">
      <c r="D323" s="5">
        <v>57615</v>
      </c>
      <c r="E323" s="9" t="s">
        <v>262</v>
      </c>
      <c r="F323" s="9">
        <v>641</v>
      </c>
      <c r="G323" s="7">
        <v>1590</v>
      </c>
      <c r="H323" s="7">
        <v>2729</v>
      </c>
      <c r="I323" s="7">
        <v>3456</v>
      </c>
      <c r="J323" s="7">
        <v>4710</v>
      </c>
      <c r="K323" s="7">
        <v>5308</v>
      </c>
      <c r="L323" s="7">
        <v>6225</v>
      </c>
      <c r="M323" s="7">
        <v>7336</v>
      </c>
      <c r="N323" s="7">
        <v>8478</v>
      </c>
      <c r="O323" s="7">
        <v>9853</v>
      </c>
      <c r="P323" s="7">
        <v>11292</v>
      </c>
      <c r="Q323" s="7">
        <v>13503</v>
      </c>
    </row>
    <row r="324" spans="4:17" ht="14.25" customHeight="1" x14ac:dyDescent="0.25">
      <c r="D324" s="5">
        <v>57620</v>
      </c>
      <c r="E324" s="9" t="s">
        <v>263</v>
      </c>
      <c r="F324" s="7">
        <v>1847</v>
      </c>
      <c r="G324" s="7">
        <v>3857</v>
      </c>
      <c r="H324" s="7">
        <v>7994</v>
      </c>
      <c r="I324" s="7">
        <v>11673</v>
      </c>
      <c r="J324" s="7">
        <v>12810</v>
      </c>
      <c r="K324" s="7">
        <v>23475</v>
      </c>
      <c r="L324" s="7">
        <v>25204</v>
      </c>
      <c r="M324" s="7">
        <v>26094</v>
      </c>
      <c r="N324" s="7">
        <v>28068</v>
      </c>
      <c r="O324" s="7">
        <v>30775</v>
      </c>
      <c r="P324" s="7">
        <v>33572</v>
      </c>
      <c r="Q324" s="7">
        <v>41139</v>
      </c>
    </row>
    <row r="325" spans="4:17" ht="14.25" customHeight="1" x14ac:dyDescent="0.25">
      <c r="D325" s="5">
        <v>57622</v>
      </c>
      <c r="E325" s="9" t="s">
        <v>264</v>
      </c>
      <c r="F325" s="9">
        <v>978</v>
      </c>
      <c r="G325" s="7">
        <v>2229</v>
      </c>
      <c r="H325" s="7">
        <v>3814</v>
      </c>
      <c r="I325" s="7">
        <v>4734</v>
      </c>
      <c r="J325" s="7">
        <v>4960</v>
      </c>
      <c r="K325" s="7">
        <v>5741</v>
      </c>
      <c r="L325" s="7">
        <v>5843</v>
      </c>
      <c r="M325" s="7">
        <v>7665</v>
      </c>
      <c r="N325" s="7">
        <v>8739</v>
      </c>
      <c r="O325" s="7">
        <v>10747</v>
      </c>
      <c r="P325" s="7">
        <v>11969</v>
      </c>
      <c r="Q325" s="7">
        <v>13514</v>
      </c>
    </row>
    <row r="326" spans="4:17" ht="14.25" customHeight="1" x14ac:dyDescent="0.25">
      <c r="D326" s="5">
        <v>57630</v>
      </c>
      <c r="E326" s="9" t="s">
        <v>265</v>
      </c>
      <c r="F326" s="9">
        <v>324</v>
      </c>
      <c r="G326" s="9">
        <v>324</v>
      </c>
      <c r="H326" s="9">
        <v>959</v>
      </c>
      <c r="I326" s="9">
        <v>959</v>
      </c>
      <c r="J326" s="7">
        <v>6029</v>
      </c>
      <c r="K326" s="7">
        <v>6048</v>
      </c>
      <c r="L326" s="7">
        <v>6153</v>
      </c>
      <c r="M326" s="7">
        <v>6153</v>
      </c>
      <c r="N326" s="7">
        <v>6153</v>
      </c>
      <c r="O326" s="7">
        <v>6153</v>
      </c>
      <c r="P326" s="7">
        <v>6588</v>
      </c>
      <c r="Q326" s="7">
        <v>7194</v>
      </c>
    </row>
    <row r="327" spans="4:17" ht="14.25" customHeight="1" x14ac:dyDescent="0.25">
      <c r="D327" s="5">
        <v>57650</v>
      </c>
      <c r="E327" s="9" t="s">
        <v>266</v>
      </c>
      <c r="F327" s="7">
        <v>7395</v>
      </c>
      <c r="G327" s="7">
        <v>19274</v>
      </c>
      <c r="H327" s="7">
        <v>21789</v>
      </c>
      <c r="I327" s="7">
        <v>26159</v>
      </c>
      <c r="J327" s="7">
        <v>50308</v>
      </c>
      <c r="K327" s="7">
        <v>55528</v>
      </c>
      <c r="L327" s="7">
        <v>59475</v>
      </c>
      <c r="M327" s="7">
        <v>61631</v>
      </c>
      <c r="N327" s="7">
        <v>81219</v>
      </c>
      <c r="O327" s="7">
        <v>87427</v>
      </c>
      <c r="P327" s="7">
        <v>90870</v>
      </c>
      <c r="Q327" s="7">
        <v>97515</v>
      </c>
    </row>
    <row r="328" spans="4:17" ht="14.25" customHeight="1" x14ac:dyDescent="0.25">
      <c r="D328" s="5">
        <v>57660</v>
      </c>
      <c r="E328" s="9" t="s">
        <v>267</v>
      </c>
      <c r="K328" s="7">
        <v>2139</v>
      </c>
      <c r="L328" s="7">
        <v>2139</v>
      </c>
      <c r="M328" s="7">
        <v>2139</v>
      </c>
      <c r="N328" s="7">
        <v>2139</v>
      </c>
      <c r="O328" s="7">
        <v>2139</v>
      </c>
      <c r="P328" s="7">
        <v>2139</v>
      </c>
      <c r="Q328" s="7">
        <v>2139</v>
      </c>
    </row>
    <row r="329" spans="4:17" ht="14.25" customHeight="1" x14ac:dyDescent="0.25">
      <c r="D329" s="5">
        <v>57670</v>
      </c>
      <c r="E329" s="9" t="s">
        <v>268</v>
      </c>
      <c r="F329" s="7">
        <v>8930</v>
      </c>
      <c r="G329" s="7">
        <v>12652</v>
      </c>
      <c r="H329" s="7">
        <v>12783</v>
      </c>
      <c r="I329" s="7">
        <v>13732</v>
      </c>
      <c r="J329" s="7">
        <v>15351</v>
      </c>
      <c r="K329" s="7">
        <v>15986</v>
      </c>
      <c r="L329" s="7">
        <v>79349</v>
      </c>
      <c r="M329" s="7">
        <v>80946</v>
      </c>
      <c r="N329" s="7">
        <v>74286</v>
      </c>
      <c r="O329" s="7">
        <v>75700</v>
      </c>
      <c r="P329" s="7">
        <v>78563</v>
      </c>
      <c r="Q329" s="7">
        <v>85387</v>
      </c>
    </row>
    <row r="330" spans="4:17" ht="14.25" customHeight="1" x14ac:dyDescent="0.25">
      <c r="D330" s="5">
        <v>57700</v>
      </c>
      <c r="E330" s="9" t="s">
        <v>269</v>
      </c>
      <c r="F330" s="7">
        <v>6393</v>
      </c>
      <c r="G330" s="7">
        <v>19333</v>
      </c>
      <c r="H330" s="7">
        <v>27458</v>
      </c>
      <c r="I330" s="7">
        <v>38099</v>
      </c>
      <c r="J330" s="7">
        <v>49337</v>
      </c>
      <c r="K330" s="7">
        <v>62774</v>
      </c>
      <c r="L330" s="7">
        <v>75951</v>
      </c>
      <c r="M330" s="7">
        <v>88356</v>
      </c>
      <c r="N330" s="7">
        <v>104434</v>
      </c>
      <c r="O330" s="7">
        <v>125707</v>
      </c>
      <c r="P330" s="7">
        <v>156829</v>
      </c>
      <c r="Q330" s="7">
        <v>175574</v>
      </c>
    </row>
    <row r="331" spans="4:17" ht="14.25" customHeight="1" x14ac:dyDescent="0.25">
      <c r="D331" s="5">
        <v>57725</v>
      </c>
      <c r="E331" s="9" t="s">
        <v>270</v>
      </c>
      <c r="F331" s="7">
        <v>6141</v>
      </c>
      <c r="G331" s="7">
        <v>9780</v>
      </c>
      <c r="H331" s="7">
        <v>12309</v>
      </c>
      <c r="I331" s="7">
        <v>17717</v>
      </c>
      <c r="J331" s="7">
        <v>27523</v>
      </c>
      <c r="K331" s="7">
        <v>28531</v>
      </c>
      <c r="L331" s="7">
        <v>34109</v>
      </c>
      <c r="M331" s="7">
        <v>35849</v>
      </c>
      <c r="N331" s="7">
        <v>38709</v>
      </c>
      <c r="O331" s="7">
        <v>44147</v>
      </c>
      <c r="P331" s="7">
        <v>47733</v>
      </c>
      <c r="Q331" s="7">
        <v>54461</v>
      </c>
    </row>
    <row r="332" spans="4:17" ht="14.25" customHeight="1" x14ac:dyDescent="0.25">
      <c r="D332" s="5">
        <v>57750</v>
      </c>
      <c r="E332" s="9" t="s">
        <v>271</v>
      </c>
      <c r="F332" s="7">
        <v>88134</v>
      </c>
      <c r="G332" s="7">
        <v>212020</v>
      </c>
      <c r="H332" s="7">
        <v>305120</v>
      </c>
      <c r="I332" s="7">
        <v>427438</v>
      </c>
      <c r="J332" s="7">
        <v>637894</v>
      </c>
      <c r="K332" s="7">
        <v>734106</v>
      </c>
      <c r="L332" s="7">
        <v>892564</v>
      </c>
      <c r="M332" s="7">
        <v>1073468</v>
      </c>
      <c r="N332" s="7">
        <v>1204223</v>
      </c>
      <c r="O332" s="7">
        <v>1450029</v>
      </c>
      <c r="P332" s="7">
        <v>1628911</v>
      </c>
      <c r="Q332" s="7">
        <v>1708412</v>
      </c>
    </row>
    <row r="333" spans="4:17" ht="14.25" customHeight="1" x14ac:dyDescent="0.25">
      <c r="D333" s="5">
        <v>57775</v>
      </c>
      <c r="E333" s="9" t="s">
        <v>272</v>
      </c>
      <c r="Q333" s="7">
        <v>120590</v>
      </c>
    </row>
    <row r="334" spans="4:17" ht="14.25" customHeight="1" x14ac:dyDescent="0.25">
      <c r="D334" s="5">
        <v>57780</v>
      </c>
      <c r="E334" s="9" t="s">
        <v>273</v>
      </c>
      <c r="F334" s="9">
        <v>220</v>
      </c>
      <c r="G334" s="9">
        <v>922</v>
      </c>
      <c r="H334" s="9">
        <v>967</v>
      </c>
      <c r="I334" s="9">
        <v>967</v>
      </c>
      <c r="J334" s="7">
        <v>1672</v>
      </c>
      <c r="K334" s="7">
        <v>2115</v>
      </c>
      <c r="L334" s="7">
        <v>2115</v>
      </c>
      <c r="M334" s="7">
        <v>2176</v>
      </c>
      <c r="N334" s="7">
        <v>8168</v>
      </c>
      <c r="O334" s="7">
        <v>13174</v>
      </c>
      <c r="P334" s="7">
        <v>18673</v>
      </c>
      <c r="Q334" s="7">
        <v>23742</v>
      </c>
    </row>
    <row r="335" spans="4:17" ht="14.25" customHeight="1" x14ac:dyDescent="0.25">
      <c r="D335" s="5">
        <v>57790</v>
      </c>
      <c r="E335" s="9" t="s">
        <v>274</v>
      </c>
      <c r="F335" s="7">
        <v>1860</v>
      </c>
      <c r="G335" s="7">
        <v>1860</v>
      </c>
      <c r="H335" s="7">
        <v>1860</v>
      </c>
      <c r="I335" s="7">
        <v>1860</v>
      </c>
      <c r="J335" s="7">
        <v>1860</v>
      </c>
      <c r="K335" s="7">
        <v>1860</v>
      </c>
      <c r="L335" s="7">
        <v>1860</v>
      </c>
      <c r="M335" s="7">
        <v>1860</v>
      </c>
      <c r="N335" s="7">
        <v>1860</v>
      </c>
      <c r="O335" s="7">
        <v>1860</v>
      </c>
      <c r="P335" s="7">
        <v>1860</v>
      </c>
      <c r="Q335" s="7">
        <v>3060</v>
      </c>
    </row>
    <row r="336" spans="4:17" ht="14.25" customHeight="1" x14ac:dyDescent="0.25">
      <c r="D336" s="5">
        <v>57800</v>
      </c>
      <c r="E336" s="9" t="s">
        <v>275</v>
      </c>
      <c r="F336" s="7">
        <v>11703</v>
      </c>
      <c r="G336" s="7">
        <v>179594</v>
      </c>
      <c r="H336" s="7">
        <v>250317</v>
      </c>
      <c r="I336" s="7">
        <v>343244</v>
      </c>
      <c r="J336" s="7">
        <v>428647</v>
      </c>
      <c r="K336" s="7">
        <v>497146</v>
      </c>
      <c r="L336" s="7">
        <v>548432</v>
      </c>
      <c r="M336" s="7">
        <v>802048</v>
      </c>
      <c r="N336" s="7">
        <v>875658</v>
      </c>
      <c r="O336" s="7">
        <v>957666</v>
      </c>
      <c r="P336" s="7">
        <v>1074778</v>
      </c>
      <c r="Q336" s="7">
        <v>1114346</v>
      </c>
    </row>
    <row r="337" spans="4:17" ht="14.25" customHeight="1" x14ac:dyDescent="0.25">
      <c r="D337" s="5">
        <v>57810</v>
      </c>
      <c r="E337" s="9" t="s">
        <v>276</v>
      </c>
      <c r="F337" s="7">
        <v>1500</v>
      </c>
      <c r="G337" s="7">
        <v>1500</v>
      </c>
      <c r="H337" s="7">
        <v>2250</v>
      </c>
      <c r="I337" s="7">
        <v>4290</v>
      </c>
      <c r="J337" s="7">
        <v>6430</v>
      </c>
      <c r="K337" s="7">
        <v>7975</v>
      </c>
      <c r="L337" s="7">
        <v>10475</v>
      </c>
      <c r="M337" s="7">
        <v>11820</v>
      </c>
      <c r="N337" s="7">
        <v>12570</v>
      </c>
      <c r="O337" s="7">
        <v>13320</v>
      </c>
      <c r="P337" s="7">
        <v>14070</v>
      </c>
      <c r="Q337" s="7">
        <v>14894</v>
      </c>
    </row>
    <row r="338" spans="4:17" ht="14.25" customHeight="1" x14ac:dyDescent="0.25">
      <c r="D338" s="5">
        <v>57850</v>
      </c>
      <c r="E338" s="9" t="s">
        <v>277</v>
      </c>
      <c r="F338" s="7">
        <v>1018859</v>
      </c>
      <c r="G338" s="7">
        <v>2091755</v>
      </c>
      <c r="H338" s="7">
        <v>2617284</v>
      </c>
      <c r="I338" s="7">
        <v>3313191</v>
      </c>
      <c r="J338" s="7">
        <v>4213676</v>
      </c>
      <c r="K338" s="7">
        <v>4801126</v>
      </c>
      <c r="L338" s="7">
        <v>5883681</v>
      </c>
      <c r="M338" s="7">
        <v>6803183</v>
      </c>
      <c r="N338" s="7">
        <v>8287044</v>
      </c>
      <c r="O338" s="7">
        <v>9025615</v>
      </c>
      <c r="P338" s="7">
        <v>9949059</v>
      </c>
      <c r="Q338" s="7">
        <v>11213905</v>
      </c>
    </row>
    <row r="339" spans="4:17" ht="14.25" customHeight="1" x14ac:dyDescent="0.25">
      <c r="D339" s="5">
        <v>57855</v>
      </c>
      <c r="E339" s="9" t="s">
        <v>278</v>
      </c>
      <c r="F339" s="7">
        <v>249995</v>
      </c>
      <c r="G339" s="7">
        <v>374010</v>
      </c>
      <c r="H339" s="7">
        <v>498583</v>
      </c>
      <c r="I339" s="7">
        <v>697446</v>
      </c>
      <c r="J339" s="7">
        <v>426558</v>
      </c>
      <c r="K339" s="7">
        <v>539461</v>
      </c>
      <c r="L339" s="7">
        <v>699766</v>
      </c>
      <c r="M339" s="7">
        <v>822766</v>
      </c>
      <c r="N339" s="7">
        <v>931286</v>
      </c>
      <c r="O339" s="7">
        <v>1072566</v>
      </c>
      <c r="P339" s="7">
        <v>1137066</v>
      </c>
      <c r="Q339" s="7">
        <v>1040916</v>
      </c>
    </row>
    <row r="340" spans="4:17" ht="14.25" customHeight="1" x14ac:dyDescent="0.25">
      <c r="D340" s="5">
        <v>57856</v>
      </c>
      <c r="E340" s="9" t="s">
        <v>279</v>
      </c>
      <c r="N340" s="7">
        <v>41710</v>
      </c>
      <c r="O340" s="7">
        <v>181176</v>
      </c>
      <c r="P340" s="7">
        <v>291566</v>
      </c>
      <c r="Q340" s="7">
        <v>648923</v>
      </c>
    </row>
    <row r="341" spans="4:17" ht="14.25" customHeight="1" x14ac:dyDescent="0.25">
      <c r="D341" s="5">
        <v>57860</v>
      </c>
      <c r="E341" s="9" t="s">
        <v>280</v>
      </c>
      <c r="F341" s="7">
        <v>62176</v>
      </c>
      <c r="G341" s="7">
        <v>118351</v>
      </c>
      <c r="H341" s="7">
        <v>232157</v>
      </c>
      <c r="I341" s="7">
        <v>262328</v>
      </c>
      <c r="J341" s="7">
        <v>322191</v>
      </c>
      <c r="K341" s="7">
        <v>439528</v>
      </c>
      <c r="L341" s="7">
        <v>524253</v>
      </c>
      <c r="M341" s="7">
        <v>637219</v>
      </c>
      <c r="N341" s="7">
        <v>901189</v>
      </c>
      <c r="O341" s="7">
        <v>1154631</v>
      </c>
      <c r="P341" s="7">
        <v>1356785</v>
      </c>
      <c r="Q341" s="7">
        <v>1632624</v>
      </c>
    </row>
    <row r="342" spans="4:17" ht="14.25" customHeight="1" x14ac:dyDescent="0.25">
      <c r="D342" s="5">
        <v>58100</v>
      </c>
      <c r="E342" s="9" t="s">
        <v>281</v>
      </c>
      <c r="F342" s="7">
        <v>458476</v>
      </c>
      <c r="G342" s="7">
        <v>896315</v>
      </c>
      <c r="H342" s="7">
        <v>1345909</v>
      </c>
      <c r="I342" s="7">
        <v>1820042</v>
      </c>
      <c r="J342" s="7">
        <v>2277180</v>
      </c>
      <c r="K342" s="7">
        <v>2736709</v>
      </c>
      <c r="L342" s="7">
        <v>3217832</v>
      </c>
      <c r="M342" s="7">
        <v>3707119</v>
      </c>
      <c r="N342" s="7">
        <v>4355746</v>
      </c>
      <c r="O342" s="7">
        <v>5104477</v>
      </c>
      <c r="P342" s="7">
        <v>5853137</v>
      </c>
      <c r="Q342" s="7">
        <v>6791376</v>
      </c>
    </row>
    <row r="343" spans="4:17" ht="14.25" customHeight="1" x14ac:dyDescent="0.25">
      <c r="D343" s="5">
        <v>58150</v>
      </c>
      <c r="E343" s="9" t="s">
        <v>281</v>
      </c>
      <c r="F343" s="7">
        <v>29568</v>
      </c>
      <c r="G343" s="7">
        <v>52716</v>
      </c>
      <c r="H343" s="7">
        <v>79478</v>
      </c>
      <c r="I343" s="7">
        <v>101788</v>
      </c>
      <c r="J343" s="7">
        <v>132984</v>
      </c>
      <c r="K343" s="7">
        <v>163337</v>
      </c>
      <c r="L343" s="7">
        <v>190357</v>
      </c>
      <c r="M343" s="7">
        <v>222926</v>
      </c>
      <c r="N343" s="7">
        <v>266231</v>
      </c>
      <c r="O343" s="7">
        <v>291969</v>
      </c>
      <c r="P343" s="7">
        <v>318295</v>
      </c>
      <c r="Q343" s="7">
        <v>343686</v>
      </c>
    </row>
    <row r="344" spans="4:17" ht="14.25" customHeight="1" x14ac:dyDescent="0.25">
      <c r="D344" s="5">
        <v>58155</v>
      </c>
      <c r="E344" s="9" t="s">
        <v>281</v>
      </c>
      <c r="F344" s="7">
        <v>74304</v>
      </c>
      <c r="G344" s="7">
        <v>149124</v>
      </c>
      <c r="H344" s="7">
        <v>226970</v>
      </c>
      <c r="I344" s="7">
        <v>302183</v>
      </c>
      <c r="J344" s="7">
        <v>377656</v>
      </c>
      <c r="K344" s="7">
        <v>467077</v>
      </c>
      <c r="L344" s="7">
        <v>543114</v>
      </c>
      <c r="M344" s="7">
        <v>619013</v>
      </c>
      <c r="N344" s="7">
        <v>729718</v>
      </c>
      <c r="O344" s="7">
        <v>843738</v>
      </c>
      <c r="P344" s="7">
        <v>948127</v>
      </c>
      <c r="Q344" s="7">
        <v>937057</v>
      </c>
    </row>
    <row r="345" spans="4:17" ht="14.25" customHeight="1" x14ac:dyDescent="0.25">
      <c r="D345" s="5">
        <v>58156</v>
      </c>
      <c r="E345" s="9" t="s">
        <v>282</v>
      </c>
      <c r="F345" s="7">
        <v>15991</v>
      </c>
      <c r="G345" s="7">
        <v>37799</v>
      </c>
      <c r="H345" s="7">
        <v>59578</v>
      </c>
      <c r="I345" s="7">
        <v>82068</v>
      </c>
      <c r="J345" s="7">
        <v>105754</v>
      </c>
      <c r="K345" s="7">
        <v>142823</v>
      </c>
      <c r="L345" s="7">
        <v>175203</v>
      </c>
      <c r="M345" s="7">
        <v>208840</v>
      </c>
      <c r="N345" s="7">
        <v>243382</v>
      </c>
      <c r="O345" s="7">
        <v>283722</v>
      </c>
      <c r="P345" s="7">
        <v>304928</v>
      </c>
      <c r="Q345" s="7">
        <v>275364</v>
      </c>
    </row>
    <row r="346" spans="4:17" ht="14.25" customHeight="1" x14ac:dyDescent="0.25">
      <c r="D346" s="5">
        <v>58157</v>
      </c>
      <c r="E346" s="9" t="s">
        <v>282</v>
      </c>
      <c r="I346" s="9">
        <v>594</v>
      </c>
      <c r="J346" s="9">
        <v>594</v>
      </c>
      <c r="K346" s="9">
        <v>594</v>
      </c>
      <c r="L346" s="9">
        <v>594</v>
      </c>
      <c r="M346" s="7">
        <v>1027</v>
      </c>
      <c r="N346" s="7">
        <v>1027</v>
      </c>
      <c r="O346" s="7">
        <v>1027</v>
      </c>
      <c r="P346" s="7">
        <v>1027</v>
      </c>
      <c r="Q346" s="7">
        <v>1027</v>
      </c>
    </row>
    <row r="347" spans="4:17" ht="14.25" customHeight="1" x14ac:dyDescent="0.25">
      <c r="D347" s="5">
        <v>58158</v>
      </c>
      <c r="E347" s="9" t="s">
        <v>227</v>
      </c>
      <c r="F347" s="7">
        <v>16500</v>
      </c>
      <c r="G347" s="7">
        <v>33300</v>
      </c>
      <c r="H347" s="7">
        <v>50250</v>
      </c>
      <c r="I347" s="7">
        <v>67650</v>
      </c>
      <c r="J347" s="7">
        <v>86100</v>
      </c>
      <c r="K347" s="7">
        <v>74658</v>
      </c>
      <c r="L347" s="7">
        <v>95058</v>
      </c>
      <c r="M347" s="7">
        <v>116508</v>
      </c>
      <c r="N347" s="7">
        <v>98016</v>
      </c>
      <c r="O347" s="7">
        <v>122946</v>
      </c>
      <c r="P347" s="7">
        <v>143826</v>
      </c>
      <c r="Q347" s="7">
        <v>109860</v>
      </c>
    </row>
    <row r="348" spans="4:17" ht="14.25" customHeight="1" x14ac:dyDescent="0.25">
      <c r="D348" s="5">
        <v>58511</v>
      </c>
      <c r="E348" s="9" t="s">
        <v>230</v>
      </c>
      <c r="F348" s="7">
        <v>23017</v>
      </c>
      <c r="G348" s="7">
        <v>46295</v>
      </c>
      <c r="H348" s="7">
        <v>76349</v>
      </c>
      <c r="I348" s="7">
        <v>104900</v>
      </c>
      <c r="J348" s="7">
        <v>140686</v>
      </c>
      <c r="K348" s="7">
        <v>215910</v>
      </c>
      <c r="L348" s="7">
        <v>246852</v>
      </c>
      <c r="M348" s="7">
        <v>279163</v>
      </c>
      <c r="N348" s="7">
        <v>99763</v>
      </c>
      <c r="O348" s="7">
        <v>135479</v>
      </c>
      <c r="P348" s="7">
        <v>164344</v>
      </c>
      <c r="Q348" s="7">
        <v>-183755</v>
      </c>
    </row>
    <row r="349" spans="4:17" ht="14.25" customHeight="1" x14ac:dyDescent="0.25">
      <c r="D349" s="5">
        <v>58512</v>
      </c>
      <c r="E349" s="9" t="s">
        <v>231</v>
      </c>
      <c r="F349" s="7">
        <v>125277</v>
      </c>
      <c r="G349" s="7">
        <v>212084</v>
      </c>
      <c r="H349" s="7">
        <v>289300</v>
      </c>
      <c r="I349" s="7">
        <v>406408</v>
      </c>
      <c r="J349" s="7">
        <v>499116</v>
      </c>
      <c r="K349" s="7">
        <v>553567</v>
      </c>
      <c r="L349" s="7">
        <v>648275</v>
      </c>
      <c r="M349" s="7">
        <v>740983</v>
      </c>
      <c r="N349" s="7">
        <v>772518</v>
      </c>
      <c r="O349" s="7">
        <v>851818</v>
      </c>
      <c r="P349" s="7">
        <v>922018</v>
      </c>
      <c r="Q349" s="7">
        <v>1110263</v>
      </c>
    </row>
    <row r="350" spans="4:17" ht="14.25" customHeight="1" x14ac:dyDescent="0.25">
      <c r="D350" s="5">
        <v>58513</v>
      </c>
      <c r="E350" s="9" t="s">
        <v>232</v>
      </c>
      <c r="F350" s="7">
        <v>27608</v>
      </c>
      <c r="G350" s="7">
        <v>55699</v>
      </c>
      <c r="H350" s="7">
        <v>87531</v>
      </c>
      <c r="I350" s="7">
        <v>116372</v>
      </c>
      <c r="J350" s="7">
        <v>145288</v>
      </c>
      <c r="K350" s="7">
        <v>146294</v>
      </c>
      <c r="L350" s="7">
        <v>174824</v>
      </c>
      <c r="M350" s="7">
        <v>203107</v>
      </c>
      <c r="N350" s="7">
        <v>239019</v>
      </c>
      <c r="O350" s="7">
        <v>282279</v>
      </c>
      <c r="P350" s="7">
        <v>318698</v>
      </c>
      <c r="Q350" s="7">
        <v>262254</v>
      </c>
    </row>
    <row r="351" spans="4:17" ht="14.25" customHeight="1" x14ac:dyDescent="0.25">
      <c r="D351" s="5">
        <v>58514</v>
      </c>
      <c r="E351" s="9" t="s">
        <v>233</v>
      </c>
      <c r="F351" s="7">
        <v>65668</v>
      </c>
      <c r="G351" s="7">
        <v>115335</v>
      </c>
      <c r="H351" s="7">
        <v>161211</v>
      </c>
      <c r="I351" s="7">
        <v>189716</v>
      </c>
      <c r="J351" s="7">
        <v>234902</v>
      </c>
      <c r="K351" s="7">
        <v>275738</v>
      </c>
      <c r="L351" s="7">
        <v>318663</v>
      </c>
      <c r="M351" s="7">
        <v>361345</v>
      </c>
      <c r="N351" s="7">
        <v>420246</v>
      </c>
      <c r="O351" s="7">
        <v>486689</v>
      </c>
      <c r="P351" s="7">
        <v>546309</v>
      </c>
      <c r="Q351" s="7">
        <v>629792</v>
      </c>
    </row>
    <row r="352" spans="4:17" ht="14.25" customHeight="1" x14ac:dyDescent="0.25">
      <c r="D352" s="5">
        <v>58516</v>
      </c>
      <c r="E352" s="9" t="s">
        <v>234</v>
      </c>
      <c r="F352" s="7">
        <v>9231</v>
      </c>
      <c r="G352" s="7">
        <v>18321</v>
      </c>
      <c r="H352" s="7">
        <v>28536</v>
      </c>
      <c r="I352" s="7">
        <v>38004</v>
      </c>
      <c r="J352" s="7">
        <v>47455</v>
      </c>
      <c r="K352" s="7">
        <v>57108</v>
      </c>
      <c r="L352" s="7">
        <v>66363</v>
      </c>
      <c r="M352" s="7">
        <v>76341</v>
      </c>
      <c r="N352" s="7">
        <v>86434</v>
      </c>
      <c r="O352" s="7">
        <v>97696</v>
      </c>
      <c r="P352" s="7">
        <v>109543</v>
      </c>
      <c r="Q352" s="7">
        <v>155762</v>
      </c>
    </row>
    <row r="353" spans="4:17" ht="14.25" customHeight="1" x14ac:dyDescent="0.25">
      <c r="D353" s="5">
        <v>58517</v>
      </c>
      <c r="E353" s="9" t="s">
        <v>283</v>
      </c>
      <c r="F353" s="9">
        <v>114</v>
      </c>
      <c r="G353" s="9">
        <v>159</v>
      </c>
      <c r="H353" s="9">
        <v>204</v>
      </c>
      <c r="I353" s="9">
        <v>249</v>
      </c>
      <c r="J353" s="9">
        <v>294</v>
      </c>
      <c r="K353" s="9">
        <v>339</v>
      </c>
      <c r="L353" s="9">
        <v>388</v>
      </c>
      <c r="M353" s="9">
        <v>438</v>
      </c>
      <c r="N353" s="9">
        <v>487</v>
      </c>
      <c r="O353" s="9">
        <v>536</v>
      </c>
      <c r="P353" s="9">
        <v>585</v>
      </c>
      <c r="Q353" s="9">
        <v>635</v>
      </c>
    </row>
    <row r="354" spans="4:17" ht="14.25" customHeight="1" x14ac:dyDescent="0.25">
      <c r="D354" s="5">
        <v>58519</v>
      </c>
      <c r="E354" s="9" t="s">
        <v>284</v>
      </c>
      <c r="F354" s="9">
        <v>584</v>
      </c>
      <c r="G354" s="7">
        <v>1167</v>
      </c>
      <c r="H354" s="7">
        <v>1393</v>
      </c>
      <c r="I354" s="7">
        <v>1619</v>
      </c>
      <c r="J354" s="7">
        <v>1846</v>
      </c>
      <c r="K354" s="7">
        <v>2072</v>
      </c>
      <c r="L354" s="7">
        <v>2298</v>
      </c>
      <c r="M354" s="7">
        <v>2524</v>
      </c>
      <c r="N354" s="7">
        <v>2750</v>
      </c>
      <c r="O354" s="7">
        <v>2976</v>
      </c>
      <c r="P354" s="7">
        <v>3202</v>
      </c>
      <c r="Q354" s="7">
        <v>3428</v>
      </c>
    </row>
    <row r="355" spans="4:17" ht="14.25" customHeight="1" x14ac:dyDescent="0.25">
      <c r="D355" s="5">
        <v>59050</v>
      </c>
      <c r="E355" s="9" t="s">
        <v>285</v>
      </c>
      <c r="F355" s="7">
        <v>31462</v>
      </c>
      <c r="G355" s="7">
        <v>66668</v>
      </c>
      <c r="H355" s="7">
        <v>103086</v>
      </c>
      <c r="I355" s="7">
        <v>144483</v>
      </c>
      <c r="J355" s="7">
        <v>178504</v>
      </c>
      <c r="K355" s="7">
        <v>210161</v>
      </c>
      <c r="L355" s="7">
        <v>242633</v>
      </c>
      <c r="M355" s="7">
        <v>273170</v>
      </c>
      <c r="N355" s="7">
        <v>307538</v>
      </c>
      <c r="O355" s="7">
        <v>354512</v>
      </c>
      <c r="P355" s="7">
        <v>389008</v>
      </c>
      <c r="Q355" s="7">
        <v>423021</v>
      </c>
    </row>
    <row r="356" spans="4:17" ht="14.25" customHeight="1" x14ac:dyDescent="0.25">
      <c r="D356" s="5">
        <v>59100</v>
      </c>
      <c r="E356" s="9" t="s">
        <v>286</v>
      </c>
      <c r="F356" s="7">
        <v>5277</v>
      </c>
      <c r="G356" s="7">
        <v>28103</v>
      </c>
      <c r="H356" s="7">
        <v>30786</v>
      </c>
      <c r="I356" s="7">
        <v>31324</v>
      </c>
      <c r="J356" s="7">
        <v>38188</v>
      </c>
      <c r="K356" s="7">
        <v>38665</v>
      </c>
      <c r="L356" s="7">
        <v>39991</v>
      </c>
      <c r="M356" s="7">
        <v>68705</v>
      </c>
      <c r="N356" s="7">
        <v>74971</v>
      </c>
      <c r="O356" s="7">
        <v>83525</v>
      </c>
      <c r="P356" s="7">
        <v>85396</v>
      </c>
      <c r="Q356" s="7">
        <v>99880</v>
      </c>
    </row>
    <row r="357" spans="4:17" ht="14.25" customHeight="1" x14ac:dyDescent="0.25">
      <c r="D357" s="5">
        <v>59110</v>
      </c>
      <c r="E357" s="9" t="s">
        <v>287</v>
      </c>
      <c r="F357" s="7">
        <v>136994</v>
      </c>
      <c r="G357" s="7">
        <v>240242</v>
      </c>
      <c r="H357" s="7">
        <v>361672</v>
      </c>
      <c r="I357" s="7">
        <v>483112</v>
      </c>
      <c r="J357" s="7">
        <v>604542</v>
      </c>
      <c r="K357" s="7">
        <v>762887</v>
      </c>
      <c r="L357" s="7">
        <v>911416</v>
      </c>
      <c r="M357" s="7">
        <v>1054295</v>
      </c>
      <c r="N357" s="7">
        <v>1391617</v>
      </c>
      <c r="O357" s="7">
        <v>1741429</v>
      </c>
      <c r="P357" s="7">
        <v>2088717</v>
      </c>
      <c r="Q357" s="7">
        <v>3291961</v>
      </c>
    </row>
    <row r="358" spans="4:17" ht="14.25" customHeight="1" x14ac:dyDescent="0.25">
      <c r="D358" s="5">
        <v>59120</v>
      </c>
      <c r="E358" s="9" t="s">
        <v>288</v>
      </c>
      <c r="G358" s="7">
        <v>6465</v>
      </c>
      <c r="H358" s="7">
        <v>7442</v>
      </c>
      <c r="I358" s="7">
        <v>7677</v>
      </c>
      <c r="J358" s="7">
        <v>7677</v>
      </c>
      <c r="K358" s="7">
        <v>7677</v>
      </c>
      <c r="L358" s="7">
        <v>7677</v>
      </c>
      <c r="M358" s="7">
        <v>11269</v>
      </c>
      <c r="N358" s="7">
        <v>11269</v>
      </c>
      <c r="O358" s="7">
        <v>11269</v>
      </c>
      <c r="P358" s="7">
        <v>14539</v>
      </c>
      <c r="Q358" s="7">
        <v>14539</v>
      </c>
    </row>
    <row r="359" spans="4:17" ht="14.25" customHeight="1" x14ac:dyDescent="0.25">
      <c r="D359" s="5">
        <v>59130</v>
      </c>
      <c r="E359" s="9" t="s">
        <v>289</v>
      </c>
      <c r="F359" s="7">
        <v>9765</v>
      </c>
      <c r="G359" s="7">
        <v>9766</v>
      </c>
      <c r="H359" s="7">
        <v>16822</v>
      </c>
      <c r="I359" s="7">
        <v>18601</v>
      </c>
      <c r="J359" s="7">
        <v>28281</v>
      </c>
      <c r="K359" s="7">
        <v>31969</v>
      </c>
      <c r="L359" s="7">
        <v>38684</v>
      </c>
      <c r="M359" s="7">
        <v>40910</v>
      </c>
      <c r="N359" s="7">
        <v>41770</v>
      </c>
      <c r="O359" s="7">
        <v>42454</v>
      </c>
      <c r="P359" s="7">
        <v>48150</v>
      </c>
      <c r="Q359" s="7">
        <v>63821</v>
      </c>
    </row>
    <row r="360" spans="4:17" ht="14.25" customHeight="1" x14ac:dyDescent="0.25">
      <c r="D360" s="5">
        <v>59140</v>
      </c>
      <c r="E360" s="9" t="s">
        <v>290</v>
      </c>
      <c r="F360" s="7">
        <v>22470</v>
      </c>
      <c r="G360" s="7">
        <v>48708</v>
      </c>
      <c r="H360" s="7">
        <v>49953</v>
      </c>
      <c r="I360" s="7">
        <v>68395</v>
      </c>
      <c r="J360" s="7">
        <v>88701</v>
      </c>
      <c r="K360" s="7">
        <v>108916</v>
      </c>
      <c r="L360" s="7">
        <v>125535</v>
      </c>
      <c r="M360" s="7">
        <v>147730</v>
      </c>
      <c r="N360" s="7">
        <v>171893</v>
      </c>
      <c r="O360" s="7">
        <v>195566</v>
      </c>
      <c r="P360" s="7">
        <v>214545</v>
      </c>
      <c r="Q360" s="7">
        <v>260971</v>
      </c>
    </row>
    <row r="361" spans="4:17" ht="14.25" customHeight="1" x14ac:dyDescent="0.25">
      <c r="D361" s="5">
        <v>59200</v>
      </c>
      <c r="E361" s="9" t="s">
        <v>291</v>
      </c>
      <c r="F361" s="7">
        <v>32265</v>
      </c>
      <c r="G361" s="7">
        <v>59965</v>
      </c>
      <c r="H361" s="7">
        <v>97445</v>
      </c>
      <c r="I361" s="7">
        <v>120897</v>
      </c>
      <c r="J361" s="7">
        <v>150571</v>
      </c>
      <c r="K361" s="7">
        <v>165182</v>
      </c>
      <c r="L361" s="7">
        <v>201870</v>
      </c>
      <c r="M361" s="7">
        <v>220174</v>
      </c>
      <c r="N361" s="7">
        <v>237102</v>
      </c>
      <c r="O361" s="7">
        <v>294766</v>
      </c>
      <c r="P361" s="7">
        <v>358872</v>
      </c>
      <c r="Q361" s="7">
        <v>439454</v>
      </c>
    </row>
    <row r="362" spans="4:17" ht="14.25" customHeight="1" x14ac:dyDescent="0.25">
      <c r="D362" s="5">
        <v>59210</v>
      </c>
      <c r="E362" s="9" t="s">
        <v>292</v>
      </c>
      <c r="F362" s="7">
        <v>7040</v>
      </c>
      <c r="G362" s="7">
        <v>19743</v>
      </c>
      <c r="H362" s="7">
        <v>41698</v>
      </c>
      <c r="I362" s="7">
        <v>51541</v>
      </c>
      <c r="J362" s="7">
        <v>62040</v>
      </c>
      <c r="K362" s="7">
        <v>73725</v>
      </c>
      <c r="L362" s="7">
        <v>82311</v>
      </c>
      <c r="M362" s="7">
        <v>97610</v>
      </c>
      <c r="N362" s="7">
        <v>115781</v>
      </c>
      <c r="O362" s="7">
        <v>144682</v>
      </c>
      <c r="P362" s="7">
        <v>168705</v>
      </c>
      <c r="Q362" s="7">
        <v>187622</v>
      </c>
    </row>
    <row r="363" spans="4:17" ht="14.25" customHeight="1" x14ac:dyDescent="0.25">
      <c r="D363" s="5">
        <v>59300</v>
      </c>
      <c r="E363" s="9" t="s">
        <v>293</v>
      </c>
      <c r="F363" s="7">
        <v>1798787</v>
      </c>
      <c r="G363" s="7">
        <v>3681967</v>
      </c>
      <c r="H363" s="7">
        <v>5451502</v>
      </c>
      <c r="I363" s="7">
        <v>7208054</v>
      </c>
      <c r="J363" s="7">
        <v>9009232</v>
      </c>
      <c r="K363" s="7">
        <v>10775123</v>
      </c>
      <c r="L363" s="7">
        <v>12796637</v>
      </c>
      <c r="M363" s="7">
        <v>14833326</v>
      </c>
      <c r="N363" s="7">
        <v>17884860</v>
      </c>
      <c r="O363" s="7">
        <v>21454215</v>
      </c>
      <c r="P363" s="7">
        <v>25100549</v>
      </c>
      <c r="Q363" s="7">
        <v>26134708</v>
      </c>
    </row>
    <row r="364" spans="4:17" ht="14.25" customHeight="1" x14ac:dyDescent="0.25">
      <c r="D364" s="5">
        <v>59310</v>
      </c>
      <c r="E364" s="9" t="s">
        <v>294</v>
      </c>
      <c r="F364" s="7">
        <v>-93755</v>
      </c>
      <c r="G364" s="7">
        <v>-121970</v>
      </c>
      <c r="H364" s="7">
        <v>-146615</v>
      </c>
      <c r="I364" s="7">
        <v>-373585</v>
      </c>
      <c r="J364" s="7">
        <v>-459735</v>
      </c>
      <c r="K364" s="7">
        <v>-614847</v>
      </c>
      <c r="L364" s="7">
        <v>-651910</v>
      </c>
      <c r="M364" s="7">
        <v>-748630</v>
      </c>
      <c r="N364" s="7">
        <v>-897015</v>
      </c>
      <c r="O364" s="7">
        <v>-999150</v>
      </c>
      <c r="P364" s="7">
        <v>-1095550</v>
      </c>
      <c r="Q364" s="7">
        <v>-1346705</v>
      </c>
    </row>
    <row r="365" spans="4:17" ht="14.25" customHeight="1" x14ac:dyDescent="0.25">
      <c r="D365" s="5">
        <v>59320</v>
      </c>
      <c r="E365" s="9" t="s">
        <v>295</v>
      </c>
      <c r="F365" s="7">
        <v>35539</v>
      </c>
      <c r="G365" s="7">
        <v>52998</v>
      </c>
      <c r="H365" s="7">
        <v>67799</v>
      </c>
      <c r="I365" s="7">
        <v>135541</v>
      </c>
      <c r="J365" s="7">
        <v>155338</v>
      </c>
      <c r="K365" s="7">
        <v>184194</v>
      </c>
      <c r="L365" s="7">
        <v>197500</v>
      </c>
      <c r="M365" s="7">
        <v>216906</v>
      </c>
      <c r="N365" s="7">
        <v>232817</v>
      </c>
      <c r="O365" s="7">
        <v>264841</v>
      </c>
      <c r="P365" s="7">
        <v>306316</v>
      </c>
      <c r="Q365" s="7">
        <v>320303</v>
      </c>
    </row>
    <row r="366" spans="4:17" ht="14.25" customHeight="1" x14ac:dyDescent="0.25">
      <c r="D366" s="5">
        <v>59340</v>
      </c>
      <c r="E366" s="9" t="s">
        <v>296</v>
      </c>
      <c r="F366" s="7">
        <v>18462</v>
      </c>
      <c r="G366" s="7">
        <v>21291</v>
      </c>
      <c r="H366" s="7">
        <v>24992</v>
      </c>
      <c r="I366" s="7">
        <v>30521</v>
      </c>
      <c r="J366" s="7">
        <v>160866</v>
      </c>
      <c r="K366" s="7">
        <v>256278</v>
      </c>
      <c r="L366" s="7">
        <v>523804</v>
      </c>
      <c r="M366" s="7">
        <v>564443</v>
      </c>
      <c r="N366" s="7">
        <v>569115</v>
      </c>
      <c r="O366" s="7">
        <v>578432</v>
      </c>
      <c r="P366" s="7">
        <v>598202</v>
      </c>
      <c r="Q366" s="7">
        <v>695022</v>
      </c>
    </row>
    <row r="367" spans="4:17" ht="14.25" customHeight="1" x14ac:dyDescent="0.25">
      <c r="D367" s="5">
        <v>59400</v>
      </c>
      <c r="E367" s="9" t="s">
        <v>297</v>
      </c>
      <c r="F367" s="7">
        <v>196206</v>
      </c>
      <c r="G367" s="7">
        <v>425276</v>
      </c>
      <c r="H367" s="7">
        <v>676808</v>
      </c>
      <c r="I367" s="7">
        <v>936008</v>
      </c>
      <c r="J367" s="7">
        <v>1305458</v>
      </c>
      <c r="K367" s="7">
        <v>1623300</v>
      </c>
      <c r="L367" s="7">
        <v>2133447</v>
      </c>
      <c r="M367" s="7">
        <v>2721091</v>
      </c>
      <c r="N367" s="7">
        <v>3087890</v>
      </c>
      <c r="O367" s="7">
        <v>3639540</v>
      </c>
      <c r="P367" s="7">
        <v>4134188</v>
      </c>
      <c r="Q367" s="7">
        <v>4805158</v>
      </c>
    </row>
    <row r="368" spans="4:17" ht="14.25" customHeight="1" x14ac:dyDescent="0.25">
      <c r="D368" s="5">
        <v>59510</v>
      </c>
      <c r="E368" s="9" t="s">
        <v>298</v>
      </c>
      <c r="F368" s="7">
        <v>43979</v>
      </c>
      <c r="G368" s="7">
        <v>86996</v>
      </c>
      <c r="H368" s="7">
        <v>147357</v>
      </c>
      <c r="I368" s="7">
        <v>240142</v>
      </c>
      <c r="J368" s="7">
        <v>338847</v>
      </c>
      <c r="K368" s="7">
        <v>430189</v>
      </c>
      <c r="L368" s="7">
        <v>524866</v>
      </c>
      <c r="M368" s="7">
        <v>616393</v>
      </c>
      <c r="N368" s="7">
        <v>715674</v>
      </c>
      <c r="O368" s="7">
        <v>821813</v>
      </c>
      <c r="P368" s="7">
        <v>910514</v>
      </c>
      <c r="Q368" s="7">
        <v>1659220</v>
      </c>
    </row>
    <row r="369" spans="4:17" ht="14.25" customHeight="1" x14ac:dyDescent="0.25">
      <c r="D369" s="5">
        <v>59515</v>
      </c>
      <c r="E369" s="9" t="s">
        <v>250</v>
      </c>
      <c r="Q369" s="7">
        <v>73281</v>
      </c>
    </row>
    <row r="370" spans="4:17" ht="14.25" customHeight="1" x14ac:dyDescent="0.25">
      <c r="D370" s="5">
        <v>59530</v>
      </c>
      <c r="E370" s="9" t="s">
        <v>299</v>
      </c>
      <c r="F370" s="7">
        <v>118615</v>
      </c>
      <c r="G370" s="7">
        <v>237224</v>
      </c>
      <c r="H370" s="7">
        <v>370336</v>
      </c>
      <c r="I370" s="7">
        <v>489859</v>
      </c>
      <c r="J370" s="7">
        <v>605951</v>
      </c>
      <c r="K370" s="7">
        <v>722054</v>
      </c>
      <c r="L370" s="7">
        <v>838311</v>
      </c>
      <c r="M370" s="7">
        <v>954507</v>
      </c>
      <c r="N370" s="7">
        <v>1092571</v>
      </c>
      <c r="O370" s="7">
        <v>1230916</v>
      </c>
      <c r="P370" s="7">
        <v>1384729</v>
      </c>
      <c r="Q370" s="7">
        <v>1454526</v>
      </c>
    </row>
    <row r="371" spans="4:17" ht="14.25" customHeight="1" x14ac:dyDescent="0.25">
      <c r="D371" s="5">
        <v>59535</v>
      </c>
      <c r="E371" s="9" t="s">
        <v>300</v>
      </c>
      <c r="F371" s="7">
        <v>83497</v>
      </c>
      <c r="G371" s="7">
        <v>172011</v>
      </c>
      <c r="H371" s="7">
        <v>254948</v>
      </c>
      <c r="I371" s="7">
        <v>344384</v>
      </c>
      <c r="J371" s="7">
        <v>442109</v>
      </c>
      <c r="K371" s="7">
        <v>521664</v>
      </c>
      <c r="L371" s="7">
        <v>599600</v>
      </c>
      <c r="M371" s="7">
        <v>698470</v>
      </c>
      <c r="N371" s="7">
        <v>784516</v>
      </c>
      <c r="O371" s="7">
        <v>877883</v>
      </c>
      <c r="P371" s="7">
        <v>951279</v>
      </c>
      <c r="Q371" s="7">
        <v>1403641</v>
      </c>
    </row>
    <row r="372" spans="4:17" ht="14.25" customHeight="1" x14ac:dyDescent="0.25">
      <c r="D372" s="5">
        <v>59540</v>
      </c>
      <c r="E372" s="9" t="s">
        <v>301</v>
      </c>
      <c r="F372" s="7">
        <v>139851</v>
      </c>
      <c r="G372" s="7">
        <v>279685</v>
      </c>
      <c r="H372" s="7">
        <v>419508</v>
      </c>
      <c r="I372" s="7">
        <v>559337</v>
      </c>
      <c r="J372" s="7">
        <v>698979</v>
      </c>
      <c r="K372" s="7">
        <v>838429</v>
      </c>
      <c r="L372" s="7">
        <v>978067</v>
      </c>
      <c r="M372" s="7">
        <v>1117638</v>
      </c>
      <c r="N372" s="7">
        <v>1326120</v>
      </c>
      <c r="O372" s="7">
        <v>1537165</v>
      </c>
      <c r="P372" s="7">
        <v>1748199</v>
      </c>
      <c r="Q372" s="7">
        <v>1821350</v>
      </c>
    </row>
    <row r="373" spans="4:17" ht="14.25" customHeight="1" x14ac:dyDescent="0.25">
      <c r="D373" s="5">
        <v>59550</v>
      </c>
      <c r="E373" s="9" t="s">
        <v>302</v>
      </c>
      <c r="F373" s="7">
        <v>1639224</v>
      </c>
      <c r="G373" s="7">
        <v>3318557</v>
      </c>
      <c r="H373" s="7">
        <v>4984940</v>
      </c>
      <c r="I373" s="7">
        <v>6771665</v>
      </c>
      <c r="J373" s="7">
        <v>8628843</v>
      </c>
      <c r="K373" s="7">
        <v>10465888</v>
      </c>
      <c r="L373" s="7">
        <v>12282374</v>
      </c>
      <c r="M373" s="7">
        <v>14150490</v>
      </c>
      <c r="N373" s="7">
        <v>16559278</v>
      </c>
      <c r="O373" s="7">
        <v>18935428</v>
      </c>
      <c r="P373" s="7">
        <v>21411836</v>
      </c>
      <c r="Q373" s="7">
        <v>24192983</v>
      </c>
    </row>
    <row r="374" spans="4:17" ht="14.25" customHeight="1" x14ac:dyDescent="0.25">
      <c r="D374" s="5">
        <v>59560</v>
      </c>
      <c r="E374" s="9" t="s">
        <v>303</v>
      </c>
      <c r="F374" s="7">
        <v>6223</v>
      </c>
      <c r="G374" s="7">
        <v>12159</v>
      </c>
      <c r="H374" s="7">
        <v>18095</v>
      </c>
      <c r="I374" s="7">
        <v>24030</v>
      </c>
      <c r="J374" s="7">
        <v>29966</v>
      </c>
      <c r="K374" s="7">
        <v>35902</v>
      </c>
      <c r="L374" s="7">
        <v>41838</v>
      </c>
      <c r="M374" s="7">
        <v>47774</v>
      </c>
      <c r="N374" s="7">
        <v>57212</v>
      </c>
      <c r="O374" s="7">
        <v>66650</v>
      </c>
      <c r="P374" s="7">
        <v>76089</v>
      </c>
      <c r="Q374" s="7">
        <v>71608</v>
      </c>
    </row>
    <row r="375" spans="4:17" ht="14.25" customHeight="1" x14ac:dyDescent="0.25">
      <c r="D375" s="5">
        <v>59570</v>
      </c>
      <c r="E375" s="9" t="s">
        <v>304</v>
      </c>
      <c r="F375" s="9">
        <v>406</v>
      </c>
      <c r="G375" s="9">
        <v>811</v>
      </c>
      <c r="H375" s="7">
        <v>1217</v>
      </c>
      <c r="I375" s="7">
        <v>1622</v>
      </c>
      <c r="J375" s="7">
        <v>2028</v>
      </c>
      <c r="K375" s="7">
        <v>2434</v>
      </c>
      <c r="L375" s="7">
        <v>2839</v>
      </c>
      <c r="M375" s="7">
        <v>3245</v>
      </c>
      <c r="N375" s="7">
        <v>3650</v>
      </c>
      <c r="O375" s="7">
        <v>4056</v>
      </c>
      <c r="P375" s="7">
        <v>4462</v>
      </c>
      <c r="Q375" s="7">
        <v>4867</v>
      </c>
    </row>
    <row r="376" spans="4:17" ht="14.25" customHeight="1" x14ac:dyDescent="0.25">
      <c r="D376" s="5">
        <v>59590</v>
      </c>
      <c r="E376" s="9" t="s">
        <v>305</v>
      </c>
      <c r="F376" s="7">
        <v>111731</v>
      </c>
      <c r="G376" s="7">
        <v>221912</v>
      </c>
      <c r="H376" s="7">
        <v>330542</v>
      </c>
      <c r="I376" s="7">
        <v>439172</v>
      </c>
      <c r="J376" s="7">
        <v>559414</v>
      </c>
      <c r="K376" s="7">
        <v>670624</v>
      </c>
      <c r="L376" s="7">
        <v>781834</v>
      </c>
      <c r="M376" s="7">
        <v>893045</v>
      </c>
      <c r="N376" s="7">
        <v>1004255</v>
      </c>
      <c r="O376" s="7">
        <v>1115465</v>
      </c>
      <c r="P376" s="7">
        <v>1226676</v>
      </c>
      <c r="Q376" s="7">
        <v>1337886</v>
      </c>
    </row>
    <row r="377" spans="4:17" ht="14.25" customHeight="1" x14ac:dyDescent="0.25">
      <c r="D377" s="5">
        <v>59700</v>
      </c>
      <c r="E377" s="9" t="s">
        <v>306</v>
      </c>
      <c r="F377" s="7">
        <v>60099</v>
      </c>
      <c r="G377" s="7">
        <v>120157</v>
      </c>
      <c r="H377" s="7">
        <v>180191</v>
      </c>
      <c r="I377" s="7">
        <v>240238</v>
      </c>
      <c r="J377" s="7">
        <v>299800</v>
      </c>
      <c r="K377" s="7">
        <v>359802</v>
      </c>
      <c r="L377" s="7">
        <v>419802</v>
      </c>
      <c r="M377" s="7">
        <v>485713</v>
      </c>
      <c r="N377" s="7">
        <v>605653</v>
      </c>
      <c r="O377" s="7">
        <v>720911</v>
      </c>
      <c r="P377" s="7">
        <v>808412</v>
      </c>
      <c r="Q377" s="7">
        <v>921078</v>
      </c>
    </row>
    <row r="378" spans="4:17" ht="14.25" customHeight="1" x14ac:dyDescent="0.25">
      <c r="D378" s="5">
        <v>61100</v>
      </c>
      <c r="E378" s="9" t="s">
        <v>307</v>
      </c>
      <c r="F378" s="7">
        <v>1828680</v>
      </c>
      <c r="G378" s="7">
        <v>3699460</v>
      </c>
      <c r="H378" s="7">
        <v>5591794</v>
      </c>
      <c r="I378" s="7">
        <v>7476311</v>
      </c>
      <c r="J378" s="7">
        <v>9489501</v>
      </c>
      <c r="K378" s="7">
        <v>11437416</v>
      </c>
      <c r="L378" s="7">
        <v>13358195</v>
      </c>
      <c r="M378" s="7">
        <v>15279686</v>
      </c>
      <c r="N378" s="7">
        <v>17471929</v>
      </c>
      <c r="O378" s="7">
        <v>19598047</v>
      </c>
      <c r="P378" s="7">
        <v>21860201</v>
      </c>
      <c r="Q378" s="7">
        <v>24519045</v>
      </c>
    </row>
    <row r="379" spans="4:17" ht="14.25" customHeight="1" x14ac:dyDescent="0.25">
      <c r="D379" s="5">
        <v>61150</v>
      </c>
      <c r="E379" s="9" t="s">
        <v>307</v>
      </c>
      <c r="F379" s="7">
        <v>29649</v>
      </c>
      <c r="G379" s="7">
        <v>63420</v>
      </c>
      <c r="H379" s="7">
        <v>92449</v>
      </c>
      <c r="I379" s="7">
        <v>119311</v>
      </c>
      <c r="J379" s="7">
        <v>152291</v>
      </c>
      <c r="K379" s="7">
        <v>179830</v>
      </c>
      <c r="L379" s="7">
        <v>216895</v>
      </c>
      <c r="M379" s="7">
        <v>245940</v>
      </c>
      <c r="N379" s="7">
        <v>282248</v>
      </c>
      <c r="O379" s="7">
        <v>323767</v>
      </c>
      <c r="P379" s="7">
        <v>366532</v>
      </c>
      <c r="Q379" s="7">
        <v>406362</v>
      </c>
    </row>
    <row r="380" spans="4:17" ht="14.25" customHeight="1" x14ac:dyDescent="0.25">
      <c r="D380" s="5">
        <v>61155</v>
      </c>
      <c r="E380" s="9" t="s">
        <v>307</v>
      </c>
      <c r="F380" s="7">
        <v>449248</v>
      </c>
      <c r="G380" s="7">
        <v>899921</v>
      </c>
      <c r="H380" s="7">
        <v>1362818</v>
      </c>
      <c r="I380" s="7">
        <v>1820391</v>
      </c>
      <c r="J380" s="7">
        <v>2291636</v>
      </c>
      <c r="K380" s="7">
        <v>2885899</v>
      </c>
      <c r="L380" s="7">
        <v>3369508</v>
      </c>
      <c r="M380" s="7">
        <v>3850506</v>
      </c>
      <c r="N380" s="7">
        <v>4370518</v>
      </c>
      <c r="O380" s="7">
        <v>4869033</v>
      </c>
      <c r="P380" s="7">
        <v>5372770</v>
      </c>
      <c r="Q380" s="7">
        <v>5066163</v>
      </c>
    </row>
    <row r="381" spans="4:17" ht="14.25" customHeight="1" x14ac:dyDescent="0.25">
      <c r="D381" s="5">
        <v>61156</v>
      </c>
      <c r="E381" s="9" t="s">
        <v>307</v>
      </c>
      <c r="F381" s="7">
        <v>13321</v>
      </c>
      <c r="G381" s="7">
        <v>87050</v>
      </c>
      <c r="H381" s="7">
        <v>100486</v>
      </c>
      <c r="I381" s="7">
        <v>138742</v>
      </c>
      <c r="J381" s="7">
        <v>153552</v>
      </c>
      <c r="K381" s="7">
        <v>155486</v>
      </c>
      <c r="L381" s="7">
        <v>164572</v>
      </c>
      <c r="M381" s="7">
        <v>176414</v>
      </c>
      <c r="N381" s="7">
        <v>177295</v>
      </c>
      <c r="O381" s="7">
        <v>186019</v>
      </c>
      <c r="P381" s="7">
        <v>197163</v>
      </c>
      <c r="Q381" s="7">
        <v>360539</v>
      </c>
    </row>
    <row r="382" spans="4:17" ht="14.25" customHeight="1" x14ac:dyDescent="0.25">
      <c r="D382" s="5">
        <v>61157</v>
      </c>
      <c r="E382" s="9" t="s">
        <v>307</v>
      </c>
      <c r="I382" s="7">
        <v>1931</v>
      </c>
      <c r="J382" s="7">
        <v>1931</v>
      </c>
      <c r="K382" s="7">
        <v>1931</v>
      </c>
      <c r="L382" s="7">
        <v>1931</v>
      </c>
      <c r="M382" s="7">
        <v>3933</v>
      </c>
      <c r="N382" s="7">
        <v>3933</v>
      </c>
      <c r="O382" s="7">
        <v>5751</v>
      </c>
      <c r="P382" s="7">
        <v>6646</v>
      </c>
      <c r="Q382" s="7">
        <v>5424</v>
      </c>
    </row>
    <row r="383" spans="4:17" ht="14.25" customHeight="1" x14ac:dyDescent="0.25">
      <c r="D383" s="5">
        <v>61158</v>
      </c>
      <c r="E383" s="9" t="s">
        <v>227</v>
      </c>
      <c r="F383" s="7">
        <v>34350</v>
      </c>
      <c r="G383" s="7">
        <v>71600</v>
      </c>
      <c r="H383" s="7">
        <v>109450</v>
      </c>
      <c r="I383" s="7">
        <v>147300</v>
      </c>
      <c r="J383" s="7">
        <v>185900</v>
      </c>
      <c r="K383" s="7">
        <v>198909</v>
      </c>
      <c r="L383" s="7">
        <v>239309</v>
      </c>
      <c r="M383" s="7">
        <v>280309</v>
      </c>
      <c r="N383" s="7">
        <v>284275</v>
      </c>
      <c r="O383" s="7">
        <v>326685</v>
      </c>
      <c r="P383" s="7">
        <v>369245</v>
      </c>
      <c r="Q383" s="7">
        <v>348006</v>
      </c>
    </row>
    <row r="384" spans="4:17" ht="14.25" customHeight="1" x14ac:dyDescent="0.25">
      <c r="D384" s="5">
        <v>61511</v>
      </c>
      <c r="E384" s="9" t="s">
        <v>230</v>
      </c>
      <c r="F384" s="7">
        <v>19592</v>
      </c>
      <c r="G384" s="7">
        <v>40109</v>
      </c>
      <c r="H384" s="7">
        <v>60432</v>
      </c>
      <c r="I384" s="7">
        <v>631089</v>
      </c>
      <c r="J384" s="7">
        <v>650608</v>
      </c>
      <c r="K384" s="7">
        <v>692954</v>
      </c>
      <c r="L384" s="7">
        <v>712445</v>
      </c>
      <c r="M384" s="7">
        <v>727179</v>
      </c>
      <c r="N384" s="7">
        <v>892488</v>
      </c>
      <c r="O384" s="7">
        <v>915689</v>
      </c>
      <c r="P384" s="7">
        <v>1120128</v>
      </c>
      <c r="Q384" s="7">
        <v>1133982</v>
      </c>
    </row>
    <row r="385" spans="4:17" ht="14.25" customHeight="1" x14ac:dyDescent="0.25">
      <c r="D385" s="5">
        <v>61512</v>
      </c>
      <c r="E385" s="9" t="s">
        <v>231</v>
      </c>
      <c r="F385" s="7">
        <v>335573</v>
      </c>
      <c r="G385" s="7">
        <v>569497</v>
      </c>
      <c r="H385" s="7">
        <v>775756</v>
      </c>
      <c r="I385" s="7">
        <v>1085498</v>
      </c>
      <c r="J385" s="7">
        <v>1335140</v>
      </c>
      <c r="K385" s="7">
        <v>1483416</v>
      </c>
      <c r="L385" s="7">
        <v>1745064</v>
      </c>
      <c r="M385" s="7">
        <v>2012561</v>
      </c>
      <c r="N385" s="7">
        <v>2084808</v>
      </c>
      <c r="O385" s="7">
        <v>2278465</v>
      </c>
      <c r="P385" s="7">
        <v>2472772</v>
      </c>
      <c r="Q385" s="7">
        <v>2859297</v>
      </c>
    </row>
    <row r="386" spans="4:17" ht="14.25" customHeight="1" x14ac:dyDescent="0.25">
      <c r="D386" s="5">
        <v>61513</v>
      </c>
      <c r="E386" s="9" t="s">
        <v>232</v>
      </c>
      <c r="F386" s="7">
        <v>147855</v>
      </c>
      <c r="G386" s="7">
        <v>207651</v>
      </c>
      <c r="H386" s="7">
        <v>318592</v>
      </c>
      <c r="I386" s="7">
        <v>418798</v>
      </c>
      <c r="J386" s="7">
        <v>519579</v>
      </c>
      <c r="K386" s="7">
        <v>132303</v>
      </c>
      <c r="L386" s="7">
        <v>235009</v>
      </c>
      <c r="M386" s="7">
        <v>337880</v>
      </c>
      <c r="N386" s="7">
        <v>445574</v>
      </c>
      <c r="O386" s="7">
        <v>557944</v>
      </c>
      <c r="P386" s="7">
        <v>671122</v>
      </c>
      <c r="Q386" s="7">
        <v>451762</v>
      </c>
    </row>
    <row r="387" spans="4:17" ht="14.25" customHeight="1" x14ac:dyDescent="0.25">
      <c r="D387" s="5">
        <v>61514</v>
      </c>
      <c r="E387" s="9" t="s">
        <v>233</v>
      </c>
      <c r="F387" s="7">
        <v>223077</v>
      </c>
      <c r="G387" s="7">
        <v>385969</v>
      </c>
      <c r="H387" s="7">
        <v>560662</v>
      </c>
      <c r="I387" s="7">
        <v>693073</v>
      </c>
      <c r="J387" s="7">
        <v>866294</v>
      </c>
      <c r="K387" s="7">
        <v>1032183</v>
      </c>
      <c r="L387" s="7">
        <v>1164302</v>
      </c>
      <c r="M387" s="7">
        <v>1290770</v>
      </c>
      <c r="N387" s="7">
        <v>1418519</v>
      </c>
      <c r="O387" s="7">
        <v>1548448</v>
      </c>
      <c r="P387" s="7">
        <v>1732866</v>
      </c>
      <c r="Q387" s="7">
        <v>1966358</v>
      </c>
    </row>
    <row r="388" spans="4:17" ht="14.25" customHeight="1" x14ac:dyDescent="0.25">
      <c r="D388" s="5">
        <v>61516</v>
      </c>
      <c r="E388" s="9" t="s">
        <v>234</v>
      </c>
      <c r="F388" s="7">
        <v>40201</v>
      </c>
      <c r="G388" s="7">
        <v>76236</v>
      </c>
      <c r="H388" s="7">
        <v>120171</v>
      </c>
      <c r="I388" s="7">
        <v>155925</v>
      </c>
      <c r="J388" s="7">
        <v>193513</v>
      </c>
      <c r="K388" s="7">
        <v>228206</v>
      </c>
      <c r="L388" s="7">
        <v>262761</v>
      </c>
      <c r="M388" s="7">
        <v>297085</v>
      </c>
      <c r="N388" s="7">
        <v>330821</v>
      </c>
      <c r="O388" s="7">
        <v>363803</v>
      </c>
      <c r="P388" s="7">
        <v>396378</v>
      </c>
      <c r="Q388" s="7">
        <v>504358</v>
      </c>
    </row>
    <row r="389" spans="4:17" ht="14.25" customHeight="1" x14ac:dyDescent="0.25">
      <c r="D389" s="5">
        <v>61517</v>
      </c>
      <c r="E389" s="9" t="s">
        <v>283</v>
      </c>
      <c r="F389" s="7">
        <v>6266</v>
      </c>
      <c r="G389" s="7">
        <v>25086</v>
      </c>
      <c r="H389" s="7">
        <v>31582</v>
      </c>
      <c r="I389" s="7">
        <v>38078</v>
      </c>
      <c r="J389" s="7">
        <v>41456</v>
      </c>
      <c r="K389" s="7">
        <v>44835</v>
      </c>
      <c r="L389" s="7">
        <v>48257</v>
      </c>
      <c r="M389" s="7">
        <v>51690</v>
      </c>
      <c r="N389" s="7">
        <v>55127</v>
      </c>
      <c r="O389" s="7">
        <v>61929</v>
      </c>
      <c r="P389" s="7">
        <v>68895</v>
      </c>
      <c r="Q389" s="7">
        <v>106734</v>
      </c>
    </row>
    <row r="390" spans="4:17" ht="14.25" customHeight="1" x14ac:dyDescent="0.25">
      <c r="D390" s="5">
        <v>61519</v>
      </c>
      <c r="E390" s="9" t="s">
        <v>284</v>
      </c>
      <c r="F390" s="7">
        <v>2321</v>
      </c>
      <c r="G390" s="7">
        <v>5914</v>
      </c>
      <c r="H390" s="7">
        <v>8369</v>
      </c>
      <c r="I390" s="7">
        <v>11841</v>
      </c>
      <c r="J390" s="7">
        <v>14301</v>
      </c>
      <c r="K390" s="7">
        <v>17011</v>
      </c>
      <c r="L390" s="7">
        <v>19519</v>
      </c>
      <c r="M390" s="7">
        <v>20811</v>
      </c>
      <c r="N390" s="7">
        <v>23318</v>
      </c>
      <c r="O390" s="7">
        <v>26029</v>
      </c>
      <c r="P390" s="7">
        <v>28536</v>
      </c>
      <c r="Q390" s="7">
        <v>31247</v>
      </c>
    </row>
    <row r="391" spans="4:17" ht="14.25" customHeight="1" x14ac:dyDescent="0.25">
      <c r="D391" s="5">
        <v>62000</v>
      </c>
      <c r="E391" s="9" t="s">
        <v>308</v>
      </c>
      <c r="F391" s="7">
        <v>161524</v>
      </c>
      <c r="G391" s="7">
        <v>409776</v>
      </c>
      <c r="H391" s="7">
        <v>615721</v>
      </c>
      <c r="I391" s="7">
        <v>835653</v>
      </c>
      <c r="J391" s="7">
        <v>1101822</v>
      </c>
      <c r="K391" s="7">
        <v>1408586</v>
      </c>
      <c r="L391" s="7">
        <v>1333243</v>
      </c>
      <c r="M391" s="7">
        <v>1626821</v>
      </c>
      <c r="N391" s="7">
        <v>2089523</v>
      </c>
      <c r="O391" s="7">
        <v>2505242</v>
      </c>
      <c r="P391" s="7">
        <v>2861862</v>
      </c>
      <c r="Q391" s="7">
        <v>5103904</v>
      </c>
    </row>
    <row r="392" spans="4:17" ht="14.25" customHeight="1" x14ac:dyDescent="0.25">
      <c r="D392" s="5">
        <v>62010</v>
      </c>
      <c r="E392" s="9" t="s">
        <v>309</v>
      </c>
      <c r="F392" s="7">
        <v>202957</v>
      </c>
      <c r="G392" s="7">
        <v>412938</v>
      </c>
      <c r="H392" s="7">
        <v>614425</v>
      </c>
      <c r="I392" s="7">
        <v>777901</v>
      </c>
      <c r="J392" s="7">
        <v>2202699</v>
      </c>
      <c r="K392" s="7">
        <v>2579076</v>
      </c>
      <c r="L392" s="7">
        <v>4461982</v>
      </c>
      <c r="M392" s="7">
        <v>4949826</v>
      </c>
      <c r="N392" s="7">
        <v>3226509</v>
      </c>
      <c r="O392" s="7">
        <v>4293776</v>
      </c>
      <c r="P392" s="7">
        <v>4736274</v>
      </c>
      <c r="Q392" s="7">
        <v>5181832</v>
      </c>
    </row>
    <row r="393" spans="4:17" ht="14.25" customHeight="1" x14ac:dyDescent="0.25">
      <c r="D393" s="5">
        <v>62020</v>
      </c>
      <c r="E393" s="9" t="s">
        <v>309</v>
      </c>
      <c r="F393" s="7">
        <v>214770</v>
      </c>
      <c r="G393" s="7">
        <v>413366</v>
      </c>
      <c r="H393" s="7">
        <v>689089</v>
      </c>
      <c r="I393" s="7">
        <v>1375343</v>
      </c>
      <c r="J393" s="7">
        <v>1826222</v>
      </c>
      <c r="K393" s="7">
        <v>1863207</v>
      </c>
      <c r="L393" s="7">
        <v>2830493</v>
      </c>
      <c r="M393" s="7">
        <v>3612061</v>
      </c>
      <c r="N393" s="7">
        <v>5002392</v>
      </c>
      <c r="O393" s="7">
        <v>5879843</v>
      </c>
      <c r="P393" s="7">
        <v>6343885</v>
      </c>
      <c r="Q393" s="7">
        <v>7475730</v>
      </c>
    </row>
    <row r="394" spans="4:17" ht="14.25" customHeight="1" x14ac:dyDescent="0.25">
      <c r="D394" s="5">
        <v>62030</v>
      </c>
      <c r="E394" s="9" t="s">
        <v>309</v>
      </c>
      <c r="F394" s="7">
        <v>27000</v>
      </c>
      <c r="G394" s="7">
        <v>58150</v>
      </c>
      <c r="H394" s="7">
        <v>85150</v>
      </c>
      <c r="I394" s="7">
        <v>121239</v>
      </c>
      <c r="J394" s="7">
        <v>152688</v>
      </c>
      <c r="K394" s="7">
        <v>220910</v>
      </c>
      <c r="L394" s="7">
        <v>226192</v>
      </c>
      <c r="M394" s="7">
        <v>274192</v>
      </c>
      <c r="N394" s="7">
        <v>324395</v>
      </c>
      <c r="O394" s="7">
        <v>351395</v>
      </c>
      <c r="P394" s="7">
        <v>378395</v>
      </c>
      <c r="Q394" s="7">
        <v>583057</v>
      </c>
    </row>
    <row r="395" spans="4:17" ht="14.25" customHeight="1" x14ac:dyDescent="0.25">
      <c r="D395" s="5">
        <v>62040</v>
      </c>
      <c r="E395" s="9" t="s">
        <v>309</v>
      </c>
      <c r="F395" s="7">
        <v>26667</v>
      </c>
      <c r="G395" s="7">
        <v>53334</v>
      </c>
      <c r="H395" s="7">
        <v>80001</v>
      </c>
      <c r="I395" s="7">
        <v>106668</v>
      </c>
      <c r="J395" s="7">
        <v>133335</v>
      </c>
      <c r="K395" s="7">
        <v>160002</v>
      </c>
      <c r="L395" s="7">
        <v>186669</v>
      </c>
      <c r="M395" s="7">
        <v>213336</v>
      </c>
      <c r="N395" s="7">
        <v>240003</v>
      </c>
      <c r="O395" s="7">
        <v>266670</v>
      </c>
      <c r="P395" s="7">
        <v>293337</v>
      </c>
      <c r="Q395" s="7">
        <v>260000</v>
      </c>
    </row>
    <row r="396" spans="4:17" ht="14.25" customHeight="1" x14ac:dyDescent="0.25">
      <c r="D396" s="5">
        <v>62050</v>
      </c>
      <c r="E396" s="9" t="s">
        <v>309</v>
      </c>
      <c r="F396" s="7">
        <v>12500</v>
      </c>
      <c r="G396" s="7">
        <v>25000</v>
      </c>
      <c r="H396" s="7">
        <v>37500</v>
      </c>
      <c r="I396" s="7">
        <v>50000</v>
      </c>
      <c r="J396" s="7">
        <v>62500</v>
      </c>
      <c r="K396" s="7">
        <v>75000</v>
      </c>
      <c r="L396" s="7">
        <v>87500</v>
      </c>
      <c r="M396" s="7">
        <v>100000</v>
      </c>
      <c r="N396" s="7">
        <v>112500</v>
      </c>
      <c r="O396" s="7">
        <v>125000</v>
      </c>
      <c r="P396" s="7">
        <v>137500</v>
      </c>
      <c r="Q396" s="7">
        <v>150000</v>
      </c>
    </row>
    <row r="397" spans="4:17" ht="14.25" customHeight="1" x14ac:dyDescent="0.25">
      <c r="D397" s="5">
        <v>62060</v>
      </c>
      <c r="E397" s="9" t="s">
        <v>309</v>
      </c>
      <c r="F397" s="9">
        <v>520</v>
      </c>
      <c r="G397" s="7">
        <v>1040</v>
      </c>
      <c r="H397" s="7">
        <v>1560</v>
      </c>
      <c r="I397" s="7">
        <v>2080</v>
      </c>
      <c r="J397" s="7">
        <v>2600</v>
      </c>
      <c r="K397" s="7">
        <v>3120</v>
      </c>
      <c r="L397" s="7">
        <v>3640</v>
      </c>
      <c r="M397" s="7">
        <v>4160</v>
      </c>
      <c r="N397" s="7">
        <v>4680</v>
      </c>
      <c r="O397" s="7">
        <v>5200</v>
      </c>
      <c r="P397" s="7">
        <v>5720</v>
      </c>
      <c r="Q397" s="7">
        <v>6240</v>
      </c>
    </row>
    <row r="398" spans="4:17" ht="14.25" customHeight="1" x14ac:dyDescent="0.25">
      <c r="D398" s="5">
        <v>62070</v>
      </c>
      <c r="E398" s="9" t="s">
        <v>309</v>
      </c>
      <c r="F398" s="7">
        <v>24855</v>
      </c>
      <c r="G398" s="7">
        <v>36240</v>
      </c>
      <c r="H398" s="7">
        <v>36240</v>
      </c>
      <c r="I398" s="7">
        <v>63752</v>
      </c>
      <c r="J398" s="7">
        <v>84851</v>
      </c>
      <c r="K398" s="7">
        <v>84851</v>
      </c>
      <c r="L398" s="7">
        <v>122147</v>
      </c>
      <c r="M398" s="7">
        <v>143494</v>
      </c>
      <c r="N398" s="7">
        <v>181761</v>
      </c>
      <c r="O398" s="7">
        <v>268816</v>
      </c>
      <c r="P398" s="7">
        <v>291573</v>
      </c>
      <c r="Q398" s="7">
        <v>330702</v>
      </c>
    </row>
    <row r="399" spans="4:17" ht="14.25" customHeight="1" x14ac:dyDescent="0.25">
      <c r="D399" s="5">
        <v>62080</v>
      </c>
      <c r="E399" s="9" t="s">
        <v>309</v>
      </c>
      <c r="Q399" s="7">
        <v>24985</v>
      </c>
    </row>
    <row r="400" spans="4:17" ht="14.25" customHeight="1" x14ac:dyDescent="0.25">
      <c r="D400" s="5">
        <v>62090</v>
      </c>
      <c r="E400" s="9" t="s">
        <v>309</v>
      </c>
      <c r="N400" s="7">
        <v>5400</v>
      </c>
      <c r="O400" s="7">
        <v>5400</v>
      </c>
      <c r="P400" s="7">
        <v>5400</v>
      </c>
      <c r="Q400" s="7">
        <v>5400</v>
      </c>
    </row>
    <row r="401" spans="4:17" ht="14.25" customHeight="1" x14ac:dyDescent="0.25">
      <c r="D401" s="5">
        <v>62100</v>
      </c>
      <c r="E401" s="9" t="s">
        <v>310</v>
      </c>
      <c r="F401" s="7">
        <v>17056</v>
      </c>
      <c r="G401" s="7">
        <v>55087</v>
      </c>
      <c r="H401" s="7">
        <v>80172</v>
      </c>
      <c r="I401" s="7">
        <v>101690</v>
      </c>
      <c r="J401" s="7">
        <v>124837</v>
      </c>
      <c r="K401" s="7">
        <v>146102</v>
      </c>
      <c r="L401" s="7">
        <v>186036</v>
      </c>
      <c r="M401" s="7">
        <v>212830</v>
      </c>
      <c r="N401" s="7">
        <v>272541</v>
      </c>
      <c r="O401" s="7">
        <v>308239</v>
      </c>
      <c r="P401" s="7">
        <v>395885</v>
      </c>
      <c r="Q401" s="7">
        <v>489722</v>
      </c>
    </row>
    <row r="402" spans="4:17" ht="14.25" customHeight="1" x14ac:dyDescent="0.25">
      <c r="D402" s="5">
        <v>62110</v>
      </c>
      <c r="E402" s="9" t="s">
        <v>310</v>
      </c>
      <c r="F402" s="7">
        <v>32325</v>
      </c>
      <c r="G402" s="7">
        <v>60501</v>
      </c>
      <c r="H402" s="7">
        <v>83932</v>
      </c>
      <c r="I402" s="7">
        <v>103923</v>
      </c>
      <c r="J402" s="7">
        <v>128653</v>
      </c>
      <c r="K402" s="7">
        <v>146033</v>
      </c>
      <c r="L402" s="7">
        <v>172585</v>
      </c>
      <c r="M402" s="7">
        <v>185649</v>
      </c>
      <c r="N402" s="7">
        <v>217711</v>
      </c>
      <c r="O402" s="7">
        <v>279520</v>
      </c>
      <c r="P402" s="7">
        <v>304935</v>
      </c>
      <c r="Q402" s="7">
        <v>381640</v>
      </c>
    </row>
    <row r="403" spans="4:17" ht="14.25" customHeight="1" x14ac:dyDescent="0.25">
      <c r="D403" s="5">
        <v>62120</v>
      </c>
      <c r="E403" s="9" t="s">
        <v>310</v>
      </c>
      <c r="F403" s="7">
        <v>35367</v>
      </c>
      <c r="G403" s="7">
        <v>71463</v>
      </c>
      <c r="H403" s="7">
        <v>114567</v>
      </c>
      <c r="I403" s="7">
        <v>155355</v>
      </c>
      <c r="J403" s="7">
        <v>210978</v>
      </c>
      <c r="K403" s="7">
        <v>268499</v>
      </c>
      <c r="L403" s="7">
        <v>324830</v>
      </c>
      <c r="M403" s="7">
        <v>365144</v>
      </c>
      <c r="N403" s="7">
        <v>427700</v>
      </c>
      <c r="O403" s="7">
        <v>477485</v>
      </c>
      <c r="P403" s="7">
        <v>532200</v>
      </c>
      <c r="Q403" s="7">
        <v>577271</v>
      </c>
    </row>
    <row r="404" spans="4:17" ht="14.25" customHeight="1" x14ac:dyDescent="0.25">
      <c r="D404" s="5">
        <v>62140</v>
      </c>
      <c r="E404" s="9" t="s">
        <v>311</v>
      </c>
      <c r="F404" s="7">
        <v>29282</v>
      </c>
      <c r="G404" s="7">
        <v>63296</v>
      </c>
      <c r="H404" s="7">
        <v>114084</v>
      </c>
      <c r="I404" s="7">
        <v>133884</v>
      </c>
      <c r="J404" s="7">
        <v>162882</v>
      </c>
      <c r="K404" s="7">
        <v>187575</v>
      </c>
      <c r="L404" s="7">
        <v>206270</v>
      </c>
      <c r="M404" s="7">
        <v>235692</v>
      </c>
      <c r="N404" s="7">
        <v>269321</v>
      </c>
      <c r="O404" s="7">
        <v>293454</v>
      </c>
      <c r="P404" s="7">
        <v>317347</v>
      </c>
      <c r="Q404" s="7">
        <v>362060</v>
      </c>
    </row>
    <row r="405" spans="4:17" ht="14.25" customHeight="1" x14ac:dyDescent="0.25">
      <c r="D405" s="5">
        <v>62210</v>
      </c>
      <c r="E405" s="9" t="s">
        <v>312</v>
      </c>
      <c r="F405" s="7">
        <v>18169</v>
      </c>
      <c r="G405" s="7">
        <v>20694</v>
      </c>
      <c r="H405" s="7">
        <v>50844</v>
      </c>
      <c r="I405" s="7">
        <v>52554</v>
      </c>
      <c r="J405" s="7">
        <v>65452</v>
      </c>
      <c r="K405" s="7">
        <v>117085</v>
      </c>
      <c r="L405" s="7">
        <v>121531</v>
      </c>
      <c r="M405" s="7">
        <v>125431</v>
      </c>
      <c r="N405" s="7">
        <v>188987</v>
      </c>
      <c r="O405" s="7">
        <v>209273</v>
      </c>
      <c r="P405" s="7">
        <v>212903</v>
      </c>
      <c r="Q405" s="7">
        <v>294666</v>
      </c>
    </row>
    <row r="406" spans="4:17" ht="14.25" customHeight="1" x14ac:dyDescent="0.25">
      <c r="D406" s="5">
        <v>62220</v>
      </c>
      <c r="E406" s="9" t="s">
        <v>312</v>
      </c>
      <c r="F406" s="7">
        <v>2281</v>
      </c>
      <c r="G406" s="7">
        <v>41388</v>
      </c>
      <c r="H406" s="7">
        <v>50468</v>
      </c>
      <c r="I406" s="7">
        <v>59749</v>
      </c>
      <c r="J406" s="7">
        <v>68197</v>
      </c>
      <c r="K406" s="7">
        <v>93860</v>
      </c>
      <c r="L406" s="7">
        <v>117469</v>
      </c>
      <c r="M406" s="7">
        <v>136922</v>
      </c>
      <c r="N406" s="7">
        <v>151788</v>
      </c>
      <c r="O406" s="7">
        <v>176714</v>
      </c>
      <c r="P406" s="7">
        <v>185636</v>
      </c>
      <c r="Q406" s="7">
        <v>204782</v>
      </c>
    </row>
    <row r="407" spans="4:17" ht="14.25" customHeight="1" x14ac:dyDescent="0.25">
      <c r="D407" s="5">
        <v>62230</v>
      </c>
      <c r="E407" s="9" t="s">
        <v>312</v>
      </c>
      <c r="F407" s="7">
        <v>13571</v>
      </c>
      <c r="G407" s="7">
        <v>19288</v>
      </c>
      <c r="H407" s="7">
        <v>40520</v>
      </c>
      <c r="I407" s="7">
        <v>92944</v>
      </c>
      <c r="J407" s="7">
        <v>129357</v>
      </c>
      <c r="K407" s="7">
        <v>155827</v>
      </c>
      <c r="L407" s="7">
        <v>191477</v>
      </c>
      <c r="M407" s="7">
        <v>222602</v>
      </c>
      <c r="N407" s="7">
        <v>225977</v>
      </c>
      <c r="O407" s="7">
        <v>255339</v>
      </c>
      <c r="P407" s="7">
        <v>260122</v>
      </c>
      <c r="Q407" s="7">
        <v>271868</v>
      </c>
    </row>
    <row r="408" spans="4:17" ht="14.25" customHeight="1" x14ac:dyDescent="0.25">
      <c r="D408" s="5">
        <v>62240</v>
      </c>
      <c r="E408" s="9" t="s">
        <v>312</v>
      </c>
      <c r="F408" s="7">
        <v>5623</v>
      </c>
      <c r="G408" s="7">
        <v>11170</v>
      </c>
      <c r="H408" s="7">
        <v>12963</v>
      </c>
      <c r="I408" s="7">
        <v>13857</v>
      </c>
      <c r="J408" s="7">
        <v>17341</v>
      </c>
      <c r="K408" s="7">
        <v>19423</v>
      </c>
      <c r="L408" s="7">
        <v>19423</v>
      </c>
      <c r="M408" s="7">
        <v>19423</v>
      </c>
      <c r="N408" s="7">
        <v>19658</v>
      </c>
      <c r="O408" s="7">
        <v>19888</v>
      </c>
      <c r="P408" s="7">
        <v>21316</v>
      </c>
      <c r="Q408" s="7">
        <v>29118</v>
      </c>
    </row>
    <row r="409" spans="4:17" ht="14.25" customHeight="1" x14ac:dyDescent="0.25">
      <c r="D409" s="5">
        <v>62250</v>
      </c>
      <c r="E409" s="9" t="s">
        <v>312</v>
      </c>
      <c r="F409" s="7">
        <v>1313</v>
      </c>
      <c r="G409" s="7">
        <v>2312</v>
      </c>
      <c r="H409" s="7">
        <v>3148</v>
      </c>
      <c r="I409" s="7">
        <v>4562</v>
      </c>
      <c r="J409" s="7">
        <v>5778</v>
      </c>
      <c r="K409" s="7">
        <v>7109</v>
      </c>
      <c r="L409" s="7">
        <v>7171</v>
      </c>
      <c r="M409" s="7">
        <v>8712</v>
      </c>
      <c r="N409" s="7">
        <v>10037</v>
      </c>
      <c r="O409" s="7">
        <v>37046</v>
      </c>
      <c r="P409" s="7">
        <v>44065</v>
      </c>
      <c r="Q409" s="7">
        <v>46020</v>
      </c>
    </row>
    <row r="410" spans="4:17" ht="14.25" customHeight="1" x14ac:dyDescent="0.25">
      <c r="D410" s="5">
        <v>62260</v>
      </c>
      <c r="E410" s="9" t="s">
        <v>312</v>
      </c>
      <c r="I410" s="9">
        <v>361</v>
      </c>
      <c r="J410" s="9">
        <v>361</v>
      </c>
      <c r="K410" s="9">
        <v>361</v>
      </c>
      <c r="L410" s="9">
        <v>361</v>
      </c>
      <c r="M410" s="9">
        <v>361</v>
      </c>
      <c r="N410" s="7">
        <v>2672</v>
      </c>
      <c r="O410" s="7">
        <v>3037</v>
      </c>
      <c r="P410" s="7">
        <v>3037</v>
      </c>
      <c r="Q410" s="7">
        <v>3453</v>
      </c>
    </row>
    <row r="411" spans="4:17" ht="14.25" customHeight="1" x14ac:dyDescent="0.25">
      <c r="D411" s="5">
        <v>62270</v>
      </c>
      <c r="E411" s="9" t="s">
        <v>312</v>
      </c>
      <c r="F411" s="7">
        <v>3768</v>
      </c>
      <c r="G411" s="7">
        <v>254364</v>
      </c>
      <c r="H411" s="7">
        <v>260959</v>
      </c>
      <c r="I411" s="7">
        <v>268836</v>
      </c>
      <c r="J411" s="7">
        <v>279407</v>
      </c>
      <c r="K411" s="7">
        <v>380837</v>
      </c>
      <c r="L411" s="7">
        <v>398867</v>
      </c>
      <c r="M411" s="7">
        <v>400250</v>
      </c>
      <c r="N411" s="7">
        <v>407036</v>
      </c>
      <c r="O411" s="7">
        <v>461598</v>
      </c>
      <c r="P411" s="7">
        <v>463626</v>
      </c>
      <c r="Q411" s="7">
        <v>478494</v>
      </c>
    </row>
    <row r="412" spans="4:17" ht="14.25" customHeight="1" x14ac:dyDescent="0.25">
      <c r="D412" s="5">
        <v>62300</v>
      </c>
      <c r="E412" s="9" t="s">
        <v>313</v>
      </c>
      <c r="F412" s="7">
        <v>64739</v>
      </c>
      <c r="G412" s="7">
        <v>99532</v>
      </c>
      <c r="H412" s="7">
        <v>243643</v>
      </c>
      <c r="I412" s="7">
        <v>346675</v>
      </c>
      <c r="J412" s="7">
        <v>505860</v>
      </c>
      <c r="K412" s="7">
        <v>610602</v>
      </c>
      <c r="L412" s="7">
        <v>665077</v>
      </c>
      <c r="M412" s="7">
        <v>672456</v>
      </c>
      <c r="N412" s="7">
        <v>711581</v>
      </c>
      <c r="O412" s="7">
        <v>761921</v>
      </c>
      <c r="P412" s="7">
        <v>827395</v>
      </c>
      <c r="Q412" s="7">
        <v>983573</v>
      </c>
    </row>
    <row r="413" spans="4:17" ht="14.25" customHeight="1" x14ac:dyDescent="0.25">
      <c r="D413" s="5">
        <v>62310</v>
      </c>
      <c r="E413" s="9" t="s">
        <v>314</v>
      </c>
      <c r="G413" s="7">
        <v>9377</v>
      </c>
      <c r="H413" s="7">
        <v>9377</v>
      </c>
      <c r="I413" s="7">
        <v>9377</v>
      </c>
      <c r="J413" s="7">
        <v>9377</v>
      </c>
      <c r="K413" s="7">
        <v>9377</v>
      </c>
      <c r="L413" s="7">
        <v>9377</v>
      </c>
      <c r="M413" s="7">
        <v>9377</v>
      </c>
      <c r="N413" s="7">
        <v>9377</v>
      </c>
      <c r="O413" s="7">
        <v>9377</v>
      </c>
      <c r="P413" s="7">
        <v>9377</v>
      </c>
      <c r="Q413" s="7">
        <v>9377</v>
      </c>
    </row>
    <row r="414" spans="4:17" ht="14.25" customHeight="1" x14ac:dyDescent="0.25">
      <c r="D414" s="5">
        <v>62320</v>
      </c>
      <c r="E414" s="9" t="s">
        <v>315</v>
      </c>
      <c r="F414" s="7">
        <v>97856</v>
      </c>
      <c r="G414" s="7">
        <v>111485</v>
      </c>
      <c r="H414" s="7">
        <v>203186</v>
      </c>
      <c r="I414" s="7">
        <v>298430</v>
      </c>
      <c r="J414" s="7">
        <v>330280</v>
      </c>
      <c r="K414" s="7">
        <v>429227</v>
      </c>
      <c r="L414" s="7">
        <v>442032</v>
      </c>
      <c r="M414" s="7">
        <v>474578</v>
      </c>
      <c r="N414" s="7">
        <v>441965</v>
      </c>
      <c r="O414" s="7">
        <v>681847</v>
      </c>
      <c r="P414" s="7">
        <v>840831</v>
      </c>
      <c r="Q414" s="7">
        <v>1038450</v>
      </c>
    </row>
    <row r="415" spans="4:17" ht="14.25" customHeight="1" x14ac:dyDescent="0.25">
      <c r="D415" s="5">
        <v>62400</v>
      </c>
      <c r="E415" s="9" t="s">
        <v>292</v>
      </c>
      <c r="F415" s="7">
        <v>74322</v>
      </c>
      <c r="G415" s="7">
        <v>146872</v>
      </c>
      <c r="H415" s="7">
        <v>226232</v>
      </c>
      <c r="I415" s="7">
        <v>305491</v>
      </c>
      <c r="J415" s="7">
        <v>382073</v>
      </c>
      <c r="K415" s="7">
        <v>473067</v>
      </c>
      <c r="L415" s="7">
        <v>566198</v>
      </c>
      <c r="M415" s="7">
        <v>658558</v>
      </c>
      <c r="N415" s="7">
        <v>768405</v>
      </c>
      <c r="O415" s="7">
        <v>928554</v>
      </c>
      <c r="P415" s="7">
        <v>1067078</v>
      </c>
      <c r="Q415" s="7">
        <v>1262200</v>
      </c>
    </row>
    <row r="416" spans="4:17" ht="14.25" customHeight="1" x14ac:dyDescent="0.25">
      <c r="D416" s="5">
        <v>62500</v>
      </c>
      <c r="E416" s="9" t="s">
        <v>316</v>
      </c>
      <c r="F416" s="7">
        <v>36681</v>
      </c>
      <c r="G416" s="7">
        <v>86155</v>
      </c>
      <c r="H416" s="7">
        <v>149503</v>
      </c>
      <c r="I416" s="7">
        <v>248913</v>
      </c>
      <c r="J416" s="7">
        <v>296160</v>
      </c>
      <c r="K416" s="7">
        <v>382308</v>
      </c>
      <c r="L416" s="7">
        <v>448338</v>
      </c>
      <c r="M416" s="7">
        <v>521217</v>
      </c>
      <c r="N416" s="7">
        <v>588643</v>
      </c>
      <c r="O416" s="7">
        <v>674061</v>
      </c>
      <c r="P416" s="7">
        <v>734260</v>
      </c>
      <c r="Q416" s="7">
        <v>792702</v>
      </c>
    </row>
    <row r="417" spans="4:17" ht="14.25" customHeight="1" x14ac:dyDescent="0.25">
      <c r="D417" s="5">
        <v>62510</v>
      </c>
      <c r="E417" s="9" t="s">
        <v>316</v>
      </c>
      <c r="F417" s="7">
        <v>30203</v>
      </c>
      <c r="G417" s="7">
        <v>82238</v>
      </c>
      <c r="H417" s="7">
        <v>110597</v>
      </c>
      <c r="I417" s="7">
        <v>175899</v>
      </c>
      <c r="J417" s="7">
        <v>210322</v>
      </c>
      <c r="K417" s="7">
        <v>231601</v>
      </c>
      <c r="L417" s="7">
        <v>270256</v>
      </c>
      <c r="M417" s="7">
        <v>308461</v>
      </c>
      <c r="N417" s="7">
        <v>371614</v>
      </c>
      <c r="O417" s="7">
        <v>422251</v>
      </c>
      <c r="P417" s="7">
        <v>450674</v>
      </c>
      <c r="Q417" s="7">
        <v>497877</v>
      </c>
    </row>
    <row r="418" spans="4:17" ht="14.25" customHeight="1" x14ac:dyDescent="0.25">
      <c r="D418" s="5">
        <v>62511</v>
      </c>
      <c r="E418" s="9" t="s">
        <v>316</v>
      </c>
      <c r="F418" s="7">
        <v>9811</v>
      </c>
      <c r="G418" s="7">
        <v>22524</v>
      </c>
      <c r="H418" s="7">
        <v>34229</v>
      </c>
      <c r="I418" s="7">
        <v>56520</v>
      </c>
      <c r="J418" s="7">
        <v>69373</v>
      </c>
      <c r="K418" s="7">
        <v>88933</v>
      </c>
      <c r="L418" s="7">
        <v>103661</v>
      </c>
      <c r="M418" s="7">
        <v>180980</v>
      </c>
      <c r="N418" s="7">
        <v>119428</v>
      </c>
      <c r="O418" s="7">
        <v>124331</v>
      </c>
      <c r="P418" s="7">
        <v>147599</v>
      </c>
      <c r="Q418" s="7">
        <v>137764</v>
      </c>
    </row>
    <row r="419" spans="4:17" ht="14.25" customHeight="1" x14ac:dyDescent="0.25">
      <c r="D419" s="5">
        <v>62520</v>
      </c>
      <c r="E419" s="9" t="s">
        <v>316</v>
      </c>
      <c r="G419" s="7">
        <v>2127</v>
      </c>
      <c r="H419" s="7">
        <v>5189</v>
      </c>
      <c r="I419" s="7">
        <v>6956</v>
      </c>
      <c r="J419" s="7">
        <v>8942</v>
      </c>
      <c r="K419" s="7">
        <v>16160</v>
      </c>
      <c r="L419" s="7">
        <v>31810</v>
      </c>
      <c r="M419" s="7">
        <v>32307</v>
      </c>
      <c r="N419" s="7">
        <v>32920</v>
      </c>
      <c r="O419" s="7">
        <v>30873</v>
      </c>
      <c r="P419" s="7">
        <v>34958</v>
      </c>
      <c r="Q419" s="7">
        <v>41104</v>
      </c>
    </row>
    <row r="420" spans="4:17" ht="14.25" customHeight="1" x14ac:dyDescent="0.25">
      <c r="D420" s="5">
        <v>62540</v>
      </c>
      <c r="E420" s="9" t="s">
        <v>316</v>
      </c>
      <c r="G420" s="9">
        <v>371</v>
      </c>
      <c r="H420" s="9">
        <v>371</v>
      </c>
      <c r="I420" s="9">
        <v>371</v>
      </c>
      <c r="J420" s="9">
        <v>371</v>
      </c>
      <c r="K420" s="9">
        <v>371</v>
      </c>
      <c r="L420" s="9">
        <v>371</v>
      </c>
      <c r="M420" s="7">
        <v>9544</v>
      </c>
      <c r="N420" s="7">
        <v>26937</v>
      </c>
      <c r="O420" s="7">
        <v>32677</v>
      </c>
      <c r="P420" s="7">
        <v>32273</v>
      </c>
      <c r="Q420" s="7">
        <v>34671</v>
      </c>
    </row>
    <row r="421" spans="4:17" ht="14.25" customHeight="1" x14ac:dyDescent="0.25">
      <c r="D421" s="5">
        <v>62550</v>
      </c>
      <c r="E421" s="9" t="s">
        <v>316</v>
      </c>
      <c r="L421" s="9">
        <v>843</v>
      </c>
      <c r="M421" s="7">
        <v>2029</v>
      </c>
      <c r="N421" s="7">
        <v>2856</v>
      </c>
      <c r="O421" s="7">
        <v>3901</v>
      </c>
      <c r="P421" s="7">
        <v>4724</v>
      </c>
      <c r="Q421" s="7">
        <v>5340</v>
      </c>
    </row>
    <row r="422" spans="4:17" ht="14.25" customHeight="1" x14ac:dyDescent="0.25">
      <c r="D422" s="5">
        <v>62560</v>
      </c>
      <c r="E422" s="9" t="s">
        <v>316</v>
      </c>
      <c r="F422" s="9">
        <v>150</v>
      </c>
      <c r="G422" s="7">
        <v>4839</v>
      </c>
      <c r="H422" s="7">
        <v>5160</v>
      </c>
      <c r="I422" s="7">
        <v>5258</v>
      </c>
      <c r="J422" s="7">
        <v>9270</v>
      </c>
      <c r="K422" s="7">
        <v>9409</v>
      </c>
      <c r="L422" s="7">
        <v>13185</v>
      </c>
      <c r="M422" s="7">
        <v>22505</v>
      </c>
      <c r="N422" s="7">
        <v>33803</v>
      </c>
      <c r="O422" s="7">
        <v>43601</v>
      </c>
      <c r="P422" s="7">
        <v>65953</v>
      </c>
      <c r="Q422" s="7">
        <v>80024</v>
      </c>
    </row>
    <row r="423" spans="4:17" ht="14.25" customHeight="1" x14ac:dyDescent="0.25">
      <c r="D423" s="5">
        <v>62600</v>
      </c>
      <c r="E423" s="9" t="s">
        <v>317</v>
      </c>
      <c r="F423" s="7">
        <v>30220</v>
      </c>
      <c r="G423" s="7">
        <v>57456</v>
      </c>
      <c r="H423" s="7">
        <v>73397</v>
      </c>
      <c r="I423" s="7">
        <v>101941</v>
      </c>
      <c r="J423" s="7">
        <v>130410</v>
      </c>
      <c r="K423" s="7">
        <v>146356</v>
      </c>
      <c r="L423" s="7">
        <v>173467</v>
      </c>
      <c r="M423" s="7">
        <v>201957</v>
      </c>
      <c r="N423" s="7">
        <v>235783</v>
      </c>
      <c r="O423" s="7">
        <v>261339</v>
      </c>
      <c r="P423" s="7">
        <v>281739</v>
      </c>
      <c r="Q423" s="7">
        <v>315461</v>
      </c>
    </row>
    <row r="424" spans="4:17" ht="14.25" customHeight="1" x14ac:dyDescent="0.25">
      <c r="D424" s="5">
        <v>62710</v>
      </c>
      <c r="E424" s="9" t="s">
        <v>254</v>
      </c>
      <c r="F424" s="7">
        <v>121112</v>
      </c>
      <c r="G424" s="7">
        <v>392074</v>
      </c>
      <c r="H424" s="7">
        <v>589873</v>
      </c>
      <c r="I424" s="7">
        <v>784951</v>
      </c>
      <c r="J424" s="7">
        <v>1047974</v>
      </c>
      <c r="K424" s="7">
        <v>1241001</v>
      </c>
      <c r="L424" s="7">
        <v>1470401</v>
      </c>
      <c r="M424" s="7">
        <v>1678876</v>
      </c>
      <c r="N424" s="7">
        <v>1944193</v>
      </c>
      <c r="O424" s="7">
        <v>2236033</v>
      </c>
      <c r="P424" s="7">
        <v>2432619</v>
      </c>
      <c r="Q424" s="7">
        <v>2586648</v>
      </c>
    </row>
    <row r="425" spans="4:17" ht="14.25" customHeight="1" x14ac:dyDescent="0.25">
      <c r="D425" s="5">
        <v>62715</v>
      </c>
      <c r="E425" s="9" t="s">
        <v>255</v>
      </c>
      <c r="F425" s="7">
        <v>83547</v>
      </c>
      <c r="G425" s="7">
        <v>199031</v>
      </c>
      <c r="H425" s="7">
        <v>278889</v>
      </c>
      <c r="I425" s="7">
        <v>397643</v>
      </c>
      <c r="J425" s="7">
        <v>513589</v>
      </c>
      <c r="K425" s="7">
        <v>607073</v>
      </c>
      <c r="L425" s="7">
        <v>711593</v>
      </c>
      <c r="M425" s="7">
        <v>824717</v>
      </c>
      <c r="N425" s="7">
        <v>957573</v>
      </c>
      <c r="O425" s="7">
        <v>1123704</v>
      </c>
      <c r="P425" s="7">
        <v>1242986</v>
      </c>
      <c r="Q425" s="7">
        <v>1359970</v>
      </c>
    </row>
    <row r="426" spans="4:17" ht="14.25" customHeight="1" x14ac:dyDescent="0.25">
      <c r="D426" s="5">
        <v>62720</v>
      </c>
      <c r="E426" s="9" t="s">
        <v>256</v>
      </c>
      <c r="F426" s="7">
        <v>41378</v>
      </c>
      <c r="G426" s="7">
        <v>93143</v>
      </c>
      <c r="H426" s="7">
        <v>144751</v>
      </c>
      <c r="I426" s="7">
        <v>205406</v>
      </c>
      <c r="J426" s="7">
        <v>256889</v>
      </c>
      <c r="K426" s="7">
        <v>313242</v>
      </c>
      <c r="L426" s="7">
        <v>371300</v>
      </c>
      <c r="M426" s="7">
        <v>439493</v>
      </c>
      <c r="N426" s="7">
        <v>500777</v>
      </c>
      <c r="O426" s="7">
        <v>581543</v>
      </c>
      <c r="P426" s="7">
        <v>643573</v>
      </c>
      <c r="Q426" s="7">
        <v>708398</v>
      </c>
    </row>
    <row r="427" spans="4:17" ht="14.25" customHeight="1" x14ac:dyDescent="0.25">
      <c r="D427" s="5">
        <v>62730</v>
      </c>
      <c r="E427" s="9" t="s">
        <v>257</v>
      </c>
      <c r="F427" s="7">
        <v>56214</v>
      </c>
      <c r="G427" s="7">
        <v>113450</v>
      </c>
      <c r="H427" s="7">
        <v>170797</v>
      </c>
      <c r="I427" s="7">
        <v>229715</v>
      </c>
      <c r="J427" s="7">
        <v>286390</v>
      </c>
      <c r="K427" s="7">
        <v>344577</v>
      </c>
      <c r="L427" s="7">
        <v>404598</v>
      </c>
      <c r="M427" s="7">
        <v>462490</v>
      </c>
      <c r="N427" s="7">
        <v>523661</v>
      </c>
      <c r="O427" s="7">
        <v>587882</v>
      </c>
      <c r="P427" s="7">
        <v>655300</v>
      </c>
      <c r="Q427" s="7">
        <v>727821</v>
      </c>
    </row>
    <row r="428" spans="4:17" ht="14.25" customHeight="1" x14ac:dyDescent="0.25">
      <c r="D428" s="5">
        <v>62740</v>
      </c>
      <c r="E428" s="9" t="s">
        <v>258</v>
      </c>
      <c r="F428" s="7">
        <v>83500</v>
      </c>
      <c r="G428" s="7">
        <v>181169</v>
      </c>
      <c r="H428" s="7">
        <v>256567</v>
      </c>
      <c r="I428" s="7">
        <v>369133</v>
      </c>
      <c r="J428" s="7">
        <v>461377</v>
      </c>
      <c r="K428" s="7">
        <v>542579</v>
      </c>
      <c r="L428" s="7">
        <v>643496</v>
      </c>
      <c r="M428" s="7">
        <v>739613</v>
      </c>
      <c r="N428" s="7">
        <v>872624</v>
      </c>
      <c r="O428" s="7">
        <v>1039125</v>
      </c>
      <c r="P428" s="7">
        <v>1154221</v>
      </c>
      <c r="Q428" s="7">
        <v>1384783</v>
      </c>
    </row>
    <row r="429" spans="4:17" ht="14.25" customHeight="1" x14ac:dyDescent="0.25">
      <c r="D429" s="5">
        <v>62750</v>
      </c>
      <c r="E429" s="9" t="s">
        <v>259</v>
      </c>
      <c r="F429" s="7">
        <v>30509</v>
      </c>
      <c r="G429" s="7">
        <v>81416</v>
      </c>
      <c r="H429" s="7">
        <v>105526</v>
      </c>
      <c r="I429" s="7">
        <v>139988</v>
      </c>
      <c r="J429" s="7">
        <v>168356</v>
      </c>
      <c r="K429" s="7">
        <v>179774</v>
      </c>
      <c r="L429" s="7">
        <v>196974</v>
      </c>
      <c r="M429" s="7">
        <v>220682</v>
      </c>
      <c r="N429" s="7">
        <v>269676</v>
      </c>
      <c r="O429" s="7">
        <v>301450</v>
      </c>
      <c r="P429" s="7">
        <v>327261</v>
      </c>
      <c r="Q429" s="7">
        <v>350678</v>
      </c>
    </row>
    <row r="430" spans="4:17" ht="14.25" customHeight="1" x14ac:dyDescent="0.25">
      <c r="D430" s="5">
        <v>62760</v>
      </c>
      <c r="E430" s="9" t="s">
        <v>318</v>
      </c>
      <c r="O430" s="7">
        <v>2800</v>
      </c>
      <c r="P430" s="7">
        <v>9400</v>
      </c>
      <c r="Q430" s="7">
        <v>11750</v>
      </c>
    </row>
    <row r="431" spans="4:17" ht="14.25" customHeight="1" x14ac:dyDescent="0.25">
      <c r="D431" s="5">
        <v>62800</v>
      </c>
      <c r="E431" s="9" t="s">
        <v>297</v>
      </c>
      <c r="F431" s="7">
        <v>70061</v>
      </c>
      <c r="G431" s="7">
        <v>155899</v>
      </c>
      <c r="H431" s="7">
        <v>242547</v>
      </c>
      <c r="I431" s="7">
        <v>331070</v>
      </c>
      <c r="J431" s="7">
        <v>421182</v>
      </c>
      <c r="K431" s="7">
        <v>510948</v>
      </c>
      <c r="L431" s="7">
        <v>601558</v>
      </c>
      <c r="M431" s="7">
        <v>693697</v>
      </c>
      <c r="N431" s="7">
        <v>777727</v>
      </c>
      <c r="O431" s="7">
        <v>922959</v>
      </c>
      <c r="P431" s="7">
        <v>1026277</v>
      </c>
      <c r="Q431" s="7">
        <v>1120725</v>
      </c>
    </row>
    <row r="432" spans="4:17" ht="14.25" customHeight="1" x14ac:dyDescent="0.25">
      <c r="D432" s="5">
        <v>62910</v>
      </c>
      <c r="E432" s="9" t="s">
        <v>319</v>
      </c>
      <c r="F432" s="7">
        <v>6446</v>
      </c>
      <c r="G432" s="7">
        <v>13212</v>
      </c>
      <c r="H432" s="7">
        <v>21157</v>
      </c>
      <c r="I432" s="7">
        <v>36784</v>
      </c>
      <c r="J432" s="7">
        <v>33006</v>
      </c>
      <c r="K432" s="7">
        <v>43647</v>
      </c>
      <c r="L432" s="7">
        <v>69902</v>
      </c>
      <c r="M432" s="7">
        <v>82464</v>
      </c>
      <c r="N432" s="7">
        <v>97590</v>
      </c>
      <c r="O432" s="7">
        <v>108464</v>
      </c>
      <c r="P432" s="7">
        <v>132058</v>
      </c>
      <c r="Q432" s="7">
        <v>147778</v>
      </c>
    </row>
    <row r="433" spans="4:17" ht="14.25" customHeight="1" x14ac:dyDescent="0.25">
      <c r="D433" s="5">
        <v>62920</v>
      </c>
      <c r="E433" s="9" t="s">
        <v>320</v>
      </c>
      <c r="F433" s="7">
        <v>9857</v>
      </c>
      <c r="G433" s="7">
        <v>22605</v>
      </c>
      <c r="H433" s="7">
        <v>36302</v>
      </c>
      <c r="I433" s="7">
        <v>46933</v>
      </c>
      <c r="J433" s="7">
        <v>58091</v>
      </c>
      <c r="K433" s="7">
        <v>68468</v>
      </c>
      <c r="L433" s="7">
        <v>81357</v>
      </c>
      <c r="M433" s="7">
        <v>96356</v>
      </c>
      <c r="N433" s="7">
        <v>113052</v>
      </c>
      <c r="O433" s="7">
        <v>133760</v>
      </c>
      <c r="P433" s="7">
        <v>153849</v>
      </c>
      <c r="Q433" s="7">
        <v>176212</v>
      </c>
    </row>
    <row r="434" spans="4:17" ht="14.25" customHeight="1" x14ac:dyDescent="0.25">
      <c r="D434" s="5">
        <v>63000</v>
      </c>
      <c r="E434" s="9" t="s">
        <v>321</v>
      </c>
      <c r="F434" s="7">
        <v>2115</v>
      </c>
      <c r="G434" s="7">
        <v>4471</v>
      </c>
      <c r="H434" s="7">
        <v>6190</v>
      </c>
      <c r="I434" s="7">
        <v>8306</v>
      </c>
      <c r="J434" s="7">
        <v>9149</v>
      </c>
      <c r="K434" s="7">
        <v>12138</v>
      </c>
      <c r="L434" s="7">
        <v>14754</v>
      </c>
      <c r="M434" s="7">
        <v>16755</v>
      </c>
      <c r="N434" s="7">
        <v>18887</v>
      </c>
      <c r="O434" s="7">
        <v>20874</v>
      </c>
      <c r="P434" s="7">
        <v>23520</v>
      </c>
      <c r="Q434" s="7">
        <v>23908</v>
      </c>
    </row>
    <row r="435" spans="4:17" ht="14.25" customHeight="1" x14ac:dyDescent="0.25">
      <c r="D435" s="5">
        <v>63100</v>
      </c>
      <c r="E435" s="9" t="s">
        <v>322</v>
      </c>
      <c r="F435" s="7">
        <v>15820</v>
      </c>
      <c r="G435" s="7">
        <v>31811</v>
      </c>
      <c r="H435" s="7">
        <v>50022</v>
      </c>
      <c r="I435" s="7">
        <v>72152</v>
      </c>
      <c r="J435" s="7">
        <v>89058</v>
      </c>
      <c r="K435" s="7">
        <v>105908</v>
      </c>
      <c r="L435" s="7">
        <v>123933</v>
      </c>
      <c r="M435" s="7">
        <v>140076</v>
      </c>
      <c r="N435" s="7">
        <v>162340</v>
      </c>
      <c r="O435" s="7">
        <v>181861</v>
      </c>
      <c r="P435" s="7">
        <v>199275</v>
      </c>
      <c r="Q435" s="7">
        <v>224430</v>
      </c>
    </row>
    <row r="436" spans="4:17" ht="14.25" customHeight="1" x14ac:dyDescent="0.25">
      <c r="D436" s="5">
        <v>63530</v>
      </c>
      <c r="E436" s="9" t="s">
        <v>299</v>
      </c>
      <c r="F436" s="9">
        <v>820</v>
      </c>
      <c r="G436" s="7">
        <v>1639</v>
      </c>
      <c r="H436" s="7">
        <v>2459</v>
      </c>
      <c r="I436" s="7">
        <v>3278</v>
      </c>
      <c r="J436" s="7">
        <v>4098</v>
      </c>
      <c r="K436" s="7">
        <v>4917</v>
      </c>
      <c r="L436" s="7">
        <v>5737</v>
      </c>
      <c r="M436" s="7">
        <v>6557</v>
      </c>
      <c r="N436" s="7">
        <v>7376</v>
      </c>
      <c r="O436" s="7">
        <v>8196</v>
      </c>
      <c r="P436" s="7">
        <v>9015</v>
      </c>
      <c r="Q436" s="7">
        <v>9835</v>
      </c>
    </row>
    <row r="437" spans="4:17" ht="14.25" customHeight="1" x14ac:dyDescent="0.25">
      <c r="D437" s="5">
        <v>63540</v>
      </c>
      <c r="E437" s="9" t="s">
        <v>301</v>
      </c>
      <c r="F437" s="7">
        <v>14791</v>
      </c>
      <c r="G437" s="7">
        <v>32011</v>
      </c>
      <c r="H437" s="7">
        <v>49322</v>
      </c>
      <c r="I437" s="7">
        <v>66865</v>
      </c>
      <c r="J437" s="7">
        <v>84376</v>
      </c>
      <c r="K437" s="7">
        <v>101437</v>
      </c>
      <c r="L437" s="7">
        <v>118619</v>
      </c>
      <c r="M437" s="7">
        <v>135710</v>
      </c>
      <c r="N437" s="7">
        <v>152720</v>
      </c>
      <c r="O437" s="7">
        <v>169758</v>
      </c>
      <c r="P437" s="7">
        <v>186789</v>
      </c>
      <c r="Q437" s="7">
        <v>211750</v>
      </c>
    </row>
    <row r="438" spans="4:17" ht="14.25" customHeight="1" x14ac:dyDescent="0.25">
      <c r="D438" s="5">
        <v>63550</v>
      </c>
      <c r="E438" s="9" t="s">
        <v>323</v>
      </c>
      <c r="F438" s="7">
        <v>25681</v>
      </c>
      <c r="G438" s="7">
        <v>49974</v>
      </c>
      <c r="H438" s="7">
        <v>76890</v>
      </c>
      <c r="I438" s="7">
        <v>114212</v>
      </c>
      <c r="J438" s="7">
        <v>143727</v>
      </c>
      <c r="K438" s="7">
        <v>174586</v>
      </c>
      <c r="L438" s="7">
        <v>207306</v>
      </c>
      <c r="M438" s="7">
        <v>240540</v>
      </c>
      <c r="N438" s="7">
        <v>273774</v>
      </c>
      <c r="O438" s="7">
        <v>307008</v>
      </c>
      <c r="P438" s="7">
        <v>340242</v>
      </c>
      <c r="Q438" s="7">
        <v>385142</v>
      </c>
    </row>
    <row r="439" spans="4:17" ht="14.25" customHeight="1" x14ac:dyDescent="0.25">
      <c r="D439" s="5">
        <v>63570</v>
      </c>
      <c r="E439" s="9" t="s">
        <v>324</v>
      </c>
      <c r="F439" s="7">
        <v>13755</v>
      </c>
      <c r="G439" s="7">
        <v>26843</v>
      </c>
      <c r="H439" s="7">
        <v>34535</v>
      </c>
      <c r="I439" s="7">
        <v>42319</v>
      </c>
      <c r="J439" s="7">
        <v>50067</v>
      </c>
      <c r="K439" s="7">
        <v>57264</v>
      </c>
      <c r="L439" s="7">
        <v>64376</v>
      </c>
      <c r="M439" s="7">
        <v>71857</v>
      </c>
      <c r="N439" s="7">
        <v>79913</v>
      </c>
      <c r="O439" s="7">
        <v>86675</v>
      </c>
      <c r="P439" s="7">
        <v>94279</v>
      </c>
      <c r="Q439" s="7">
        <v>104160</v>
      </c>
    </row>
    <row r="440" spans="4:17" ht="14.25" customHeight="1" x14ac:dyDescent="0.25">
      <c r="D440" s="5">
        <v>63590</v>
      </c>
      <c r="E440" s="9" t="s">
        <v>305</v>
      </c>
      <c r="F440" s="9">
        <v>740</v>
      </c>
      <c r="G440" s="7">
        <v>1480</v>
      </c>
      <c r="H440" s="7">
        <v>2219</v>
      </c>
      <c r="I440" s="7">
        <v>2959</v>
      </c>
      <c r="J440" s="7">
        <v>3699</v>
      </c>
      <c r="K440" s="7">
        <v>4439</v>
      </c>
      <c r="L440" s="7">
        <v>5179</v>
      </c>
      <c r="M440" s="7">
        <v>5919</v>
      </c>
      <c r="N440" s="7">
        <v>6658</v>
      </c>
      <c r="O440" s="7">
        <v>7398</v>
      </c>
      <c r="P440" s="7">
        <v>8138</v>
      </c>
      <c r="Q440" s="7">
        <v>8878</v>
      </c>
    </row>
    <row r="441" spans="4:17" ht="14.25" customHeight="1" x14ac:dyDescent="0.25">
      <c r="D441" s="5">
        <v>63610</v>
      </c>
      <c r="E441" s="9" t="s">
        <v>250</v>
      </c>
      <c r="F441" s="7">
        <v>10660</v>
      </c>
      <c r="G441" s="7">
        <v>21321</v>
      </c>
      <c r="H441" s="7">
        <v>31981</v>
      </c>
      <c r="I441" s="7">
        <v>42642</v>
      </c>
      <c r="J441" s="7">
        <v>53302</v>
      </c>
      <c r="K441" s="7">
        <v>63962</v>
      </c>
      <c r="L441" s="7">
        <v>74623</v>
      </c>
      <c r="M441" s="7">
        <v>85283</v>
      </c>
      <c r="N441" s="7">
        <v>95944</v>
      </c>
      <c r="O441" s="7">
        <v>106604</v>
      </c>
      <c r="P441" s="7">
        <v>117264</v>
      </c>
      <c r="Q441" s="7">
        <v>127925</v>
      </c>
    </row>
    <row r="442" spans="4:17" ht="14.25" customHeight="1" x14ac:dyDescent="0.25">
      <c r="D442" s="5">
        <v>63620</v>
      </c>
      <c r="E442" s="9" t="s">
        <v>250</v>
      </c>
      <c r="F442" s="7">
        <v>330544</v>
      </c>
      <c r="G442" s="7">
        <v>661087</v>
      </c>
      <c r="H442" s="7">
        <v>991631</v>
      </c>
      <c r="I442" s="7">
        <v>1322174</v>
      </c>
      <c r="J442" s="7">
        <v>1652718</v>
      </c>
      <c r="K442" s="7">
        <v>3338171</v>
      </c>
      <c r="L442" s="7">
        <v>3901625</v>
      </c>
      <c r="M442" s="7">
        <v>4465079</v>
      </c>
      <c r="N442" s="7">
        <v>5028533</v>
      </c>
      <c r="O442" s="7">
        <v>5591987</v>
      </c>
      <c r="P442" s="7">
        <v>6155441</v>
      </c>
      <c r="Q442" s="7">
        <v>6600840</v>
      </c>
    </row>
    <row r="443" spans="4:17" ht="14.25" customHeight="1" x14ac:dyDescent="0.25">
      <c r="D443" s="5">
        <v>63640</v>
      </c>
      <c r="E443" s="9" t="s">
        <v>250</v>
      </c>
      <c r="J443" s="7">
        <v>312749</v>
      </c>
      <c r="K443" s="7">
        <v>625757</v>
      </c>
      <c r="L443" s="7">
        <v>625757</v>
      </c>
      <c r="M443" s="7">
        <v>625757</v>
      </c>
      <c r="N443" s="7">
        <v>625757</v>
      </c>
      <c r="O443" s="7">
        <v>625757</v>
      </c>
      <c r="P443" s="7">
        <v>625757</v>
      </c>
    </row>
    <row r="444" spans="4:17" ht="14.25" customHeight="1" x14ac:dyDescent="0.25">
      <c r="D444" s="5">
        <v>63650</v>
      </c>
      <c r="E444" s="9" t="s">
        <v>250</v>
      </c>
      <c r="Q444" s="7">
        <v>1690000</v>
      </c>
    </row>
    <row r="445" spans="4:17" ht="14.25" customHeight="1" x14ac:dyDescent="0.25">
      <c r="D445" s="5">
        <v>63660</v>
      </c>
      <c r="E445" s="9" t="s">
        <v>250</v>
      </c>
      <c r="Q445" s="7">
        <v>3500</v>
      </c>
    </row>
    <row r="446" spans="4:17" ht="14.25" customHeight="1" x14ac:dyDescent="0.25">
      <c r="D446" s="5">
        <v>63670</v>
      </c>
      <c r="E446" s="9" t="s">
        <v>250</v>
      </c>
      <c r="Q446" s="7">
        <v>32183</v>
      </c>
    </row>
    <row r="447" spans="4:17" ht="14.25" customHeight="1" x14ac:dyDescent="0.25">
      <c r="D447" s="5">
        <v>63700</v>
      </c>
      <c r="E447" s="9" t="s">
        <v>306</v>
      </c>
      <c r="F447" s="7">
        <v>111301</v>
      </c>
      <c r="G447" s="7">
        <v>225249</v>
      </c>
      <c r="H447" s="7">
        <v>336550</v>
      </c>
      <c r="I447" s="7">
        <v>447851</v>
      </c>
      <c r="J447" s="7">
        <v>577902</v>
      </c>
      <c r="K447" s="7">
        <v>694271</v>
      </c>
      <c r="L447" s="7">
        <v>805572</v>
      </c>
      <c r="M447" s="7">
        <v>916873</v>
      </c>
      <c r="N447" s="7">
        <v>1069488</v>
      </c>
      <c r="O447" s="7">
        <v>1223649</v>
      </c>
      <c r="P447" s="7">
        <v>1368900</v>
      </c>
      <c r="Q447" s="7">
        <v>1637973</v>
      </c>
    </row>
    <row r="448" spans="4:17" ht="14.25" customHeight="1" x14ac:dyDescent="0.25">
      <c r="D448" s="5">
        <v>63720</v>
      </c>
      <c r="E448" s="9" t="s">
        <v>325</v>
      </c>
      <c r="F448" s="9">
        <v>801</v>
      </c>
      <c r="G448" s="7">
        <v>15882</v>
      </c>
      <c r="H448" s="7">
        <v>15882</v>
      </c>
      <c r="I448" s="7">
        <v>35034</v>
      </c>
      <c r="J448" s="7">
        <v>35034</v>
      </c>
      <c r="K448" s="7">
        <v>35034</v>
      </c>
      <c r="L448" s="7">
        <v>63314</v>
      </c>
      <c r="M448" s="7">
        <v>63314</v>
      </c>
      <c r="N448" s="7">
        <v>73699</v>
      </c>
      <c r="O448" s="7">
        <v>102888</v>
      </c>
      <c r="P448" s="7">
        <v>103000</v>
      </c>
      <c r="Q448" s="7">
        <v>103000</v>
      </c>
    </row>
    <row r="449" spans="4:17" ht="14.25" customHeight="1" x14ac:dyDescent="0.25">
      <c r="D449" s="5">
        <v>63721</v>
      </c>
      <c r="E449" s="9" t="s">
        <v>326</v>
      </c>
      <c r="Q449" s="7">
        <v>64466</v>
      </c>
    </row>
    <row r="450" spans="4:17" ht="14.25" customHeight="1" x14ac:dyDescent="0.25">
      <c r="D450" s="5">
        <v>63810</v>
      </c>
      <c r="E450" s="9" t="s">
        <v>327</v>
      </c>
      <c r="F450" s="7">
        <v>10753</v>
      </c>
      <c r="G450" s="7">
        <v>18153</v>
      </c>
      <c r="H450" s="7">
        <v>59373</v>
      </c>
      <c r="I450" s="7">
        <v>67644</v>
      </c>
      <c r="J450" s="7">
        <v>73811</v>
      </c>
      <c r="K450" s="7">
        <v>82198</v>
      </c>
      <c r="L450" s="7">
        <v>88691</v>
      </c>
      <c r="M450" s="7">
        <v>99161</v>
      </c>
      <c r="N450" s="7">
        <v>106845</v>
      </c>
      <c r="O450" s="7">
        <v>117428</v>
      </c>
      <c r="P450" s="7">
        <v>127503</v>
      </c>
      <c r="Q450" s="7">
        <v>146154</v>
      </c>
    </row>
    <row r="451" spans="4:17" ht="14.25" customHeight="1" x14ac:dyDescent="0.25">
      <c r="D451" s="5">
        <v>63812</v>
      </c>
      <c r="E451" s="9" t="s">
        <v>327</v>
      </c>
      <c r="F451" s="7">
        <v>27311</v>
      </c>
      <c r="G451" s="7">
        <v>76729</v>
      </c>
      <c r="H451" s="7">
        <v>102370</v>
      </c>
      <c r="I451" s="7">
        <v>119903</v>
      </c>
      <c r="J451" s="7">
        <v>142564</v>
      </c>
      <c r="K451" s="7">
        <v>169242</v>
      </c>
      <c r="L451" s="7">
        <v>221620</v>
      </c>
      <c r="M451" s="7">
        <v>243487</v>
      </c>
      <c r="N451" s="7">
        <v>280108</v>
      </c>
      <c r="O451" s="7">
        <v>316306</v>
      </c>
      <c r="P451" s="7">
        <v>353627</v>
      </c>
      <c r="Q451" s="7">
        <v>391186</v>
      </c>
    </row>
    <row r="452" spans="4:17" ht="14.25" customHeight="1" x14ac:dyDescent="0.25">
      <c r="D452" s="5">
        <v>63820</v>
      </c>
      <c r="E452" s="9" t="s">
        <v>327</v>
      </c>
      <c r="F452" s="7">
        <v>2056</v>
      </c>
      <c r="G452" s="7">
        <v>15260</v>
      </c>
      <c r="H452" s="7">
        <v>32203</v>
      </c>
      <c r="I452" s="7">
        <v>51367</v>
      </c>
      <c r="J452" s="7">
        <v>56198</v>
      </c>
      <c r="K452" s="7">
        <v>63760</v>
      </c>
      <c r="L452" s="7">
        <v>76922</v>
      </c>
      <c r="M452" s="7">
        <v>81475</v>
      </c>
      <c r="N452" s="7">
        <v>99554</v>
      </c>
      <c r="O452" s="7">
        <v>100913</v>
      </c>
      <c r="P452" s="7">
        <v>115783</v>
      </c>
      <c r="Q452" s="7">
        <v>137467</v>
      </c>
    </row>
    <row r="453" spans="4:17" ht="14.25" customHeight="1" x14ac:dyDescent="0.25">
      <c r="D453" s="5">
        <v>63830</v>
      </c>
      <c r="E453" s="9" t="s">
        <v>327</v>
      </c>
      <c r="F453" s="7">
        <v>55679</v>
      </c>
      <c r="G453" s="7">
        <v>79986</v>
      </c>
      <c r="H453" s="7">
        <v>128579</v>
      </c>
      <c r="I453" s="7">
        <v>152435</v>
      </c>
      <c r="J453" s="7">
        <v>163628</v>
      </c>
      <c r="K453" s="7">
        <v>180360</v>
      </c>
      <c r="L453" s="7">
        <v>217957</v>
      </c>
      <c r="M453" s="7">
        <v>229935</v>
      </c>
      <c r="N453" s="7">
        <v>236620</v>
      </c>
      <c r="O453" s="7">
        <v>242328</v>
      </c>
      <c r="P453" s="7">
        <v>265244</v>
      </c>
      <c r="Q453" s="7">
        <v>268416</v>
      </c>
    </row>
    <row r="454" spans="4:17" ht="14.25" customHeight="1" x14ac:dyDescent="0.25">
      <c r="D454" s="5">
        <v>63840</v>
      </c>
      <c r="E454" s="9" t="s">
        <v>327</v>
      </c>
      <c r="F454" s="7">
        <v>164333</v>
      </c>
      <c r="G454" s="7">
        <v>444876</v>
      </c>
      <c r="H454" s="7">
        <v>726493</v>
      </c>
      <c r="I454" s="7">
        <v>969238</v>
      </c>
      <c r="J454" s="7">
        <v>1144294</v>
      </c>
      <c r="K454" s="7">
        <v>1308889</v>
      </c>
      <c r="L454" s="7">
        <v>1490226</v>
      </c>
      <c r="M454" s="7">
        <v>1876043</v>
      </c>
      <c r="N454" s="7">
        <v>2208345</v>
      </c>
      <c r="O454" s="7">
        <v>2384940</v>
      </c>
      <c r="P454" s="7">
        <v>2551901</v>
      </c>
      <c r="Q454" s="7">
        <v>2430473</v>
      </c>
    </row>
    <row r="455" spans="4:17" ht="14.25" customHeight="1" x14ac:dyDescent="0.25">
      <c r="D455" s="5">
        <v>63841</v>
      </c>
      <c r="E455" s="9" t="s">
        <v>328</v>
      </c>
      <c r="G455" s="7">
        <v>3015</v>
      </c>
      <c r="H455" s="7">
        <v>6768</v>
      </c>
      <c r="I455" s="7">
        <v>24239</v>
      </c>
      <c r="J455" s="7">
        <v>27688</v>
      </c>
      <c r="K455" s="7">
        <v>29571</v>
      </c>
      <c r="L455" s="7">
        <v>29757</v>
      </c>
      <c r="M455" s="7">
        <v>31292</v>
      </c>
      <c r="N455" s="7">
        <v>33289</v>
      </c>
      <c r="O455" s="7">
        <v>34994</v>
      </c>
      <c r="P455" s="7">
        <v>35119</v>
      </c>
      <c r="Q455" s="7">
        <v>44294</v>
      </c>
    </row>
    <row r="456" spans="4:17" ht="14.25" customHeight="1" x14ac:dyDescent="0.25">
      <c r="D456" s="5">
        <v>63842</v>
      </c>
      <c r="E456" s="9" t="s">
        <v>329</v>
      </c>
      <c r="G456" s="7">
        <v>11850</v>
      </c>
      <c r="H456" s="7">
        <v>16650</v>
      </c>
      <c r="I456" s="7">
        <v>24085</v>
      </c>
      <c r="J456" s="7">
        <v>25585</v>
      </c>
      <c r="K456" s="7">
        <v>25585</v>
      </c>
      <c r="L456" s="7">
        <v>27585</v>
      </c>
      <c r="M456" s="7">
        <v>35885</v>
      </c>
      <c r="N456" s="7">
        <v>40985</v>
      </c>
      <c r="O456" s="7">
        <v>51485</v>
      </c>
      <c r="P456" s="7">
        <v>52985</v>
      </c>
      <c r="Q456" s="7">
        <v>86485</v>
      </c>
    </row>
    <row r="457" spans="4:17" ht="14.25" customHeight="1" x14ac:dyDescent="0.25">
      <c r="D457" s="5">
        <v>63845</v>
      </c>
      <c r="E457" s="9" t="s">
        <v>327</v>
      </c>
      <c r="F457" s="7">
        <v>12193</v>
      </c>
      <c r="G457" s="7">
        <v>22925</v>
      </c>
      <c r="H457" s="7">
        <v>34589</v>
      </c>
      <c r="I457" s="7">
        <v>46971</v>
      </c>
      <c r="J457" s="7">
        <v>61342</v>
      </c>
      <c r="K457" s="7">
        <v>70734</v>
      </c>
      <c r="L457" s="7">
        <v>79887</v>
      </c>
      <c r="M457" s="7">
        <v>96343</v>
      </c>
      <c r="N457" s="7">
        <v>106298</v>
      </c>
      <c r="O457" s="7">
        <v>118728</v>
      </c>
      <c r="P457" s="7">
        <v>126617</v>
      </c>
      <c r="Q457" s="7">
        <v>139396</v>
      </c>
    </row>
    <row r="458" spans="4:17" ht="14.25" customHeight="1" x14ac:dyDescent="0.25">
      <c r="D458" s="5">
        <v>63850</v>
      </c>
      <c r="E458" s="9" t="s">
        <v>327</v>
      </c>
      <c r="F458" s="7">
        <v>176868</v>
      </c>
      <c r="G458" s="7">
        <v>316514</v>
      </c>
      <c r="H458" s="7">
        <v>464452</v>
      </c>
      <c r="I458" s="7">
        <v>613910</v>
      </c>
      <c r="J458" s="7">
        <v>879376</v>
      </c>
      <c r="K458" s="7">
        <v>846369</v>
      </c>
      <c r="L458" s="7">
        <v>944368</v>
      </c>
      <c r="M458" s="7">
        <v>1073520</v>
      </c>
      <c r="N458" s="7">
        <v>1187694</v>
      </c>
      <c r="O458" s="7">
        <v>1317461</v>
      </c>
      <c r="P458" s="7">
        <v>1365782</v>
      </c>
      <c r="Q458" s="7">
        <v>1802412</v>
      </c>
    </row>
    <row r="459" spans="4:17" ht="14.25" customHeight="1" x14ac:dyDescent="0.25">
      <c r="D459" s="5">
        <v>63860</v>
      </c>
      <c r="E459" s="9" t="s">
        <v>330</v>
      </c>
      <c r="N459" s="9">
        <v>500</v>
      </c>
      <c r="O459" s="7">
        <v>1950</v>
      </c>
      <c r="P459" s="7">
        <v>3644</v>
      </c>
      <c r="Q459" s="7">
        <v>3711</v>
      </c>
    </row>
    <row r="460" spans="4:17" ht="14.25" customHeight="1" x14ac:dyDescent="0.25">
      <c r="D460" s="5">
        <v>65000</v>
      </c>
      <c r="E460" s="9" t="s">
        <v>331</v>
      </c>
      <c r="F460" s="9">
        <v>272</v>
      </c>
      <c r="G460" s="9">
        <v>272</v>
      </c>
      <c r="H460" s="9">
        <v>272</v>
      </c>
      <c r="I460" s="9">
        <v>272</v>
      </c>
      <c r="J460" s="9">
        <v>272</v>
      </c>
      <c r="K460" s="9">
        <v>272</v>
      </c>
      <c r="L460" s="9">
        <v>272</v>
      </c>
      <c r="M460" s="9">
        <v>272</v>
      </c>
      <c r="N460" s="9">
        <v>272</v>
      </c>
      <c r="O460" s="9">
        <v>272</v>
      </c>
      <c r="P460" s="9">
        <v>272</v>
      </c>
    </row>
    <row r="461" spans="4:17" ht="14.25" customHeight="1" x14ac:dyDescent="0.25">
      <c r="D461" s="5">
        <v>66000</v>
      </c>
      <c r="E461" s="9" t="s">
        <v>332</v>
      </c>
      <c r="F461" s="7">
        <v>83334</v>
      </c>
      <c r="G461" s="7">
        <v>166668</v>
      </c>
      <c r="H461" s="7">
        <v>250002</v>
      </c>
      <c r="I461" s="7">
        <v>333336</v>
      </c>
      <c r="J461" s="7">
        <v>416670</v>
      </c>
      <c r="K461" s="7">
        <v>500004</v>
      </c>
      <c r="L461" s="7">
        <v>583338</v>
      </c>
      <c r="M461" s="7">
        <v>666672</v>
      </c>
      <c r="N461" s="7">
        <v>750006</v>
      </c>
      <c r="O461" s="7">
        <v>833340</v>
      </c>
      <c r="P461" s="7">
        <v>916674</v>
      </c>
      <c r="Q461" s="7">
        <v>2820977</v>
      </c>
    </row>
    <row r="462" spans="4:17" ht="14.25" customHeight="1" x14ac:dyDescent="0.25">
      <c r="D462" s="5">
        <v>66600</v>
      </c>
      <c r="E462" s="9" t="s">
        <v>333</v>
      </c>
      <c r="H462" s="7">
        <v>70000</v>
      </c>
      <c r="I462" s="7">
        <v>70185</v>
      </c>
      <c r="J462" s="7">
        <v>70185</v>
      </c>
      <c r="K462" s="7">
        <v>70185</v>
      </c>
      <c r="L462" s="7">
        <v>70185</v>
      </c>
      <c r="M462" s="7">
        <v>70185</v>
      </c>
      <c r="N462" s="7">
        <v>107251</v>
      </c>
      <c r="O462" s="7">
        <v>107251</v>
      </c>
      <c r="P462" s="7">
        <v>107251</v>
      </c>
      <c r="Q462" s="7">
        <v>107251</v>
      </c>
    </row>
    <row r="463" spans="4:17" ht="14.25" customHeight="1" x14ac:dyDescent="0.25">
      <c r="D463" s="5">
        <v>73107</v>
      </c>
      <c r="E463" s="9" t="s">
        <v>334</v>
      </c>
      <c r="I463" s="7">
        <v>58067</v>
      </c>
      <c r="J463" s="7">
        <v>223067</v>
      </c>
      <c r="K463" s="7">
        <v>223067</v>
      </c>
      <c r="L463" s="7">
        <v>223067</v>
      </c>
      <c r="M463" s="7">
        <v>323067</v>
      </c>
      <c r="N463" s="7">
        <v>365845</v>
      </c>
      <c r="O463" s="7">
        <v>604584</v>
      </c>
      <c r="P463" s="7">
        <v>604584</v>
      </c>
      <c r="Q463" s="7">
        <v>329584</v>
      </c>
    </row>
    <row r="464" spans="4:17" ht="14.25" customHeight="1" x14ac:dyDescent="0.25">
      <c r="D464" s="5">
        <v>73108</v>
      </c>
      <c r="E464" s="9" t="s">
        <v>335</v>
      </c>
      <c r="G464" s="7">
        <v>-120000</v>
      </c>
      <c r="H464" s="7">
        <v>-255472</v>
      </c>
      <c r="I464" s="7">
        <v>-227764</v>
      </c>
      <c r="J464" s="7">
        <v>-282764</v>
      </c>
      <c r="K464" s="7">
        <v>-282764</v>
      </c>
      <c r="L464" s="7">
        <v>-282764</v>
      </c>
      <c r="M464" s="7">
        <v>-304764</v>
      </c>
      <c r="N464" s="7">
        <v>-304764</v>
      </c>
      <c r="O464" s="7">
        <v>-339764</v>
      </c>
      <c r="P464" s="7">
        <v>-339764</v>
      </c>
      <c r="Q464" s="7">
        <v>-339764</v>
      </c>
    </row>
    <row r="465" spans="4:17" ht="14.25" customHeight="1" x14ac:dyDescent="0.25">
      <c r="D465" s="5">
        <v>73110</v>
      </c>
      <c r="E465" s="9" t="s">
        <v>336</v>
      </c>
      <c r="F465" s="7">
        <v>-1875</v>
      </c>
      <c r="G465" s="7">
        <v>-3025</v>
      </c>
      <c r="H465" s="7">
        <v>-7900</v>
      </c>
      <c r="I465" s="7">
        <v>-8400</v>
      </c>
      <c r="J465" s="7">
        <v>-11600</v>
      </c>
      <c r="K465" s="7">
        <v>-12100</v>
      </c>
      <c r="L465" s="7">
        <v>-14300</v>
      </c>
      <c r="M465" s="7">
        <v>-15800</v>
      </c>
      <c r="N465" s="7">
        <v>-17500</v>
      </c>
      <c r="O465" s="7">
        <v>-19000</v>
      </c>
      <c r="P465" s="7">
        <v>-21525</v>
      </c>
      <c r="Q465" s="7">
        <v>-22350</v>
      </c>
    </row>
    <row r="466" spans="4:17" ht="14.25" customHeight="1" x14ac:dyDescent="0.25">
      <c r="D466" s="5">
        <v>73116</v>
      </c>
      <c r="E466" s="9" t="s">
        <v>181</v>
      </c>
      <c r="F466" s="7">
        <v>28457</v>
      </c>
      <c r="G466" s="7">
        <v>30087</v>
      </c>
      <c r="H466" s="7">
        <v>35934</v>
      </c>
      <c r="I466" s="7">
        <v>95681</v>
      </c>
      <c r="J466" s="7">
        <v>200880</v>
      </c>
      <c r="K466" s="7">
        <v>251582</v>
      </c>
      <c r="L466" s="7">
        <v>317515</v>
      </c>
      <c r="M466" s="7">
        <v>465071</v>
      </c>
      <c r="N466" s="7">
        <v>520648</v>
      </c>
      <c r="O466" s="7">
        <v>615357</v>
      </c>
      <c r="P466" s="7">
        <v>790191</v>
      </c>
      <c r="Q466" s="7">
        <v>695999</v>
      </c>
    </row>
    <row r="467" spans="4:17" ht="14.25" customHeight="1" x14ac:dyDescent="0.25">
      <c r="D467" s="5">
        <v>73120</v>
      </c>
      <c r="E467" s="9" t="s">
        <v>337</v>
      </c>
      <c r="F467" s="7">
        <v>-7209</v>
      </c>
      <c r="G467" s="7">
        <v>-25034</v>
      </c>
      <c r="H467" s="7">
        <v>-59254</v>
      </c>
      <c r="I467" s="7">
        <v>-68012</v>
      </c>
      <c r="J467" s="7">
        <v>-61406</v>
      </c>
      <c r="K467" s="7">
        <v>-86262</v>
      </c>
      <c r="L467" s="7">
        <v>-94843</v>
      </c>
      <c r="M467" s="7">
        <v>-126741</v>
      </c>
      <c r="N467" s="7">
        <v>-125901</v>
      </c>
      <c r="O467" s="7">
        <v>-172070</v>
      </c>
      <c r="P467" s="7">
        <v>-165345</v>
      </c>
      <c r="Q467" s="7">
        <v>-192368</v>
      </c>
    </row>
    <row r="468" spans="4:17" ht="14.25" customHeight="1" x14ac:dyDescent="0.25">
      <c r="D468" s="5">
        <v>73122</v>
      </c>
      <c r="E468" s="9" t="s">
        <v>338</v>
      </c>
      <c r="L468" s="7">
        <v>-6780</v>
      </c>
      <c r="M468" s="7">
        <v>-6780</v>
      </c>
      <c r="N468" s="7">
        <v>-6780</v>
      </c>
      <c r="O468" s="7">
        <v>-6780</v>
      </c>
      <c r="P468" s="7">
        <v>-6780</v>
      </c>
      <c r="Q468" s="7">
        <v>-6780</v>
      </c>
    </row>
    <row r="469" spans="4:17" ht="14.25" customHeight="1" x14ac:dyDescent="0.25">
      <c r="D469" s="5">
        <v>73123</v>
      </c>
      <c r="E469" s="9" t="s">
        <v>339</v>
      </c>
      <c r="F469" s="7">
        <v>-5864</v>
      </c>
      <c r="G469" s="7">
        <v>26146</v>
      </c>
      <c r="H469" s="7">
        <v>-4956</v>
      </c>
      <c r="I469" s="7">
        <v>-4956</v>
      </c>
      <c r="J469" s="7">
        <v>-4977</v>
      </c>
      <c r="K469" s="7">
        <v>-4977</v>
      </c>
      <c r="L469" s="7">
        <v>-4977</v>
      </c>
      <c r="M469" s="7">
        <v>-80856</v>
      </c>
      <c r="N469" s="7">
        <v>-80856</v>
      </c>
      <c r="O469" s="7">
        <v>-1321</v>
      </c>
      <c r="P469" s="7">
        <v>-9847</v>
      </c>
      <c r="Q469" s="9">
        <v>169</v>
      </c>
    </row>
    <row r="470" spans="4:17" ht="14.25" customHeight="1" x14ac:dyDescent="0.25">
      <c r="D470" s="5">
        <v>73126</v>
      </c>
      <c r="E470" s="9" t="s">
        <v>340</v>
      </c>
      <c r="F470" s="9">
        <v>-10</v>
      </c>
      <c r="G470" s="9">
        <v>-23</v>
      </c>
      <c r="H470" s="9">
        <v>-23</v>
      </c>
      <c r="I470" s="9">
        <v>-23</v>
      </c>
      <c r="J470" s="9">
        <v>-23</v>
      </c>
      <c r="K470" s="9">
        <v>-23</v>
      </c>
      <c r="L470" s="9">
        <v>-23</v>
      </c>
      <c r="M470" s="9">
        <v>-23</v>
      </c>
      <c r="N470" s="9">
        <v>-23</v>
      </c>
      <c r="O470" s="9">
        <v>-23</v>
      </c>
      <c r="P470" s="9">
        <v>-23</v>
      </c>
      <c r="Q470" s="9">
        <v>-43</v>
      </c>
    </row>
    <row r="471" spans="4:17" ht="14.25" customHeight="1" x14ac:dyDescent="0.25">
      <c r="D471" s="5">
        <v>73130</v>
      </c>
      <c r="E471" s="9" t="s">
        <v>341</v>
      </c>
      <c r="Q471" s="7">
        <v>-30274</v>
      </c>
    </row>
    <row r="472" spans="4:17" ht="14.25" customHeight="1" x14ac:dyDescent="0.25">
      <c r="D472" s="5">
        <v>73140</v>
      </c>
      <c r="E472" s="9" t="s">
        <v>342</v>
      </c>
      <c r="F472" s="7">
        <v>-10001</v>
      </c>
      <c r="G472" s="7">
        <v>-10001</v>
      </c>
      <c r="H472" s="7">
        <v>-10001</v>
      </c>
      <c r="I472" s="7">
        <v>-10001</v>
      </c>
      <c r="J472" s="7">
        <v>-21001</v>
      </c>
      <c r="K472" s="7">
        <v>-21001</v>
      </c>
      <c r="L472" s="7">
        <v>-21001</v>
      </c>
      <c r="M472" s="7">
        <v>-21001</v>
      </c>
      <c r="N472" s="7">
        <v>-21001</v>
      </c>
      <c r="O472" s="7">
        <v>-32001</v>
      </c>
      <c r="P472" s="7">
        <v>-32001</v>
      </c>
      <c r="Q472" s="7">
        <v>-32001</v>
      </c>
    </row>
    <row r="473" spans="4:17" ht="14.25" customHeight="1" x14ac:dyDescent="0.25">
      <c r="D473" s="5">
        <v>73210</v>
      </c>
      <c r="E473" s="9" t="s">
        <v>343</v>
      </c>
      <c r="F473" s="9">
        <v>505</v>
      </c>
      <c r="G473" s="9">
        <v>505</v>
      </c>
      <c r="H473" s="7">
        <v>1540</v>
      </c>
      <c r="I473" s="7">
        <v>1540</v>
      </c>
      <c r="J473" s="7">
        <v>1652</v>
      </c>
      <c r="K473" s="7">
        <v>2138</v>
      </c>
      <c r="L473" s="7">
        <v>2359</v>
      </c>
      <c r="M473" s="7">
        <v>3108</v>
      </c>
      <c r="N473" s="7">
        <v>3545</v>
      </c>
      <c r="O473" s="7">
        <v>4981</v>
      </c>
      <c r="P473" s="7">
        <v>5194</v>
      </c>
      <c r="Q473" s="7">
        <v>5849</v>
      </c>
    </row>
    <row r="474" spans="4:17" ht="14.25" customHeight="1" x14ac:dyDescent="0.25">
      <c r="D474" s="5">
        <v>73220</v>
      </c>
      <c r="E474" s="9" t="s">
        <v>344</v>
      </c>
      <c r="F474" s="7">
        <v>78319</v>
      </c>
      <c r="G474" s="7">
        <v>560246</v>
      </c>
      <c r="H474" s="7">
        <v>642204</v>
      </c>
      <c r="I474" s="7">
        <v>670253</v>
      </c>
      <c r="J474" s="7">
        <v>696423</v>
      </c>
      <c r="K474" s="7">
        <v>784687</v>
      </c>
      <c r="L474" s="7">
        <v>840929</v>
      </c>
      <c r="M474" s="7">
        <v>866943</v>
      </c>
      <c r="N474" s="7">
        <v>893527</v>
      </c>
      <c r="O474" s="7">
        <v>915490</v>
      </c>
      <c r="P474" s="7">
        <v>943136</v>
      </c>
      <c r="Q474" s="7">
        <v>895272</v>
      </c>
    </row>
    <row r="475" spans="4:17" ht="14.25" customHeight="1" x14ac:dyDescent="0.25">
      <c r="D475" s="5">
        <v>73221</v>
      </c>
      <c r="E475" s="9" t="s">
        <v>345</v>
      </c>
      <c r="F475" s="7">
        <v>11603</v>
      </c>
      <c r="G475" s="7">
        <v>23197</v>
      </c>
      <c r="H475" s="7">
        <v>34786</v>
      </c>
      <c r="I475" s="7">
        <v>46378</v>
      </c>
      <c r="J475" s="7">
        <v>57967</v>
      </c>
      <c r="K475" s="7">
        <v>69549</v>
      </c>
      <c r="L475" s="7">
        <v>11131</v>
      </c>
      <c r="M475" s="7">
        <v>22711</v>
      </c>
      <c r="N475" s="7">
        <v>34295</v>
      </c>
      <c r="O475" s="7">
        <v>2195884</v>
      </c>
      <c r="P475" s="7">
        <v>2207460</v>
      </c>
      <c r="Q475" s="7">
        <v>2219030</v>
      </c>
    </row>
    <row r="476" spans="4:17" ht="14.25" customHeight="1" x14ac:dyDescent="0.25">
      <c r="D476" s="5">
        <v>73223</v>
      </c>
      <c r="E476" s="9" t="s">
        <v>346</v>
      </c>
      <c r="O476" s="7">
        <v>972596</v>
      </c>
      <c r="P476" s="7">
        <v>1464833</v>
      </c>
      <c r="Q476" s="7">
        <v>21334427</v>
      </c>
    </row>
    <row r="477" spans="4:17" ht="14.25" customHeight="1" x14ac:dyDescent="0.25">
      <c r="D477" s="5">
        <v>79011</v>
      </c>
      <c r="E477" s="9" t="s">
        <v>347</v>
      </c>
      <c r="F477" s="7">
        <v>3605243</v>
      </c>
      <c r="G477" s="7">
        <v>7210486</v>
      </c>
      <c r="H477" s="7">
        <v>10340388</v>
      </c>
      <c r="I477" s="7">
        <v>13985249</v>
      </c>
      <c r="J477" s="7">
        <v>17630110</v>
      </c>
      <c r="K477" s="7">
        <v>21331992</v>
      </c>
      <c r="L477" s="7">
        <v>25161187</v>
      </c>
      <c r="M477" s="7">
        <v>28990381</v>
      </c>
      <c r="N477" s="7">
        <v>33886372</v>
      </c>
      <c r="O477" s="7">
        <v>39065540</v>
      </c>
      <c r="P477" s="7">
        <v>43921009</v>
      </c>
      <c r="Q477" s="7">
        <v>50303675</v>
      </c>
    </row>
    <row r="478" spans="4:17" ht="14.25" customHeight="1" x14ac:dyDescent="0.25">
      <c r="D478" s="5">
        <v>79015</v>
      </c>
      <c r="E478" s="9" t="s">
        <v>348</v>
      </c>
      <c r="K478" s="7">
        <v>81473</v>
      </c>
      <c r="L478" s="7">
        <v>81473</v>
      </c>
      <c r="M478" s="7">
        <v>292383</v>
      </c>
      <c r="N478" s="7">
        <v>678893</v>
      </c>
      <c r="O478" s="7">
        <v>833032</v>
      </c>
      <c r="P478" s="7">
        <v>956311</v>
      </c>
      <c r="Q478" s="7">
        <v>1135850</v>
      </c>
    </row>
    <row r="479" spans="4:17" ht="14.25" customHeight="1" x14ac:dyDescent="0.25">
      <c r="D479" s="5">
        <v>79019</v>
      </c>
      <c r="E479" s="9" t="s">
        <v>349</v>
      </c>
      <c r="F479" s="7">
        <v>9327</v>
      </c>
      <c r="G479" s="7">
        <v>18653</v>
      </c>
      <c r="H479" s="7">
        <v>27980</v>
      </c>
      <c r="I479" s="7">
        <v>37306</v>
      </c>
      <c r="J479" s="7">
        <v>46633</v>
      </c>
      <c r="K479" s="7">
        <v>55959</v>
      </c>
      <c r="L479" s="7">
        <v>65286</v>
      </c>
      <c r="M479" s="7">
        <v>77786</v>
      </c>
      <c r="N479" s="7">
        <v>90286</v>
      </c>
      <c r="O479" s="7">
        <v>22083</v>
      </c>
      <c r="P479" s="7">
        <v>34583</v>
      </c>
      <c r="Q479" s="7">
        <v>59583</v>
      </c>
    </row>
    <row r="480" spans="4:17" ht="14.25" customHeight="1" x14ac:dyDescent="0.25">
      <c r="D480" s="5">
        <v>79022</v>
      </c>
      <c r="E480" s="9" t="s">
        <v>350</v>
      </c>
      <c r="F480" s="7">
        <v>290149</v>
      </c>
      <c r="G480" s="7">
        <v>574945</v>
      </c>
      <c r="H480" s="7">
        <v>650549</v>
      </c>
      <c r="I480" s="7">
        <v>930542</v>
      </c>
      <c r="J480" s="7">
        <v>1210535</v>
      </c>
      <c r="K480" s="7">
        <v>1110992</v>
      </c>
      <c r="L480" s="7">
        <v>1397072</v>
      </c>
      <c r="M480" s="7">
        <v>1706936</v>
      </c>
      <c r="N480" s="7">
        <v>1789593</v>
      </c>
      <c r="O480" s="7">
        <v>2074005</v>
      </c>
      <c r="P480" s="7">
        <v>2349243</v>
      </c>
      <c r="Q480" s="7">
        <v>5208746</v>
      </c>
    </row>
    <row r="481" spans="4:17" ht="14.25" customHeight="1" x14ac:dyDescent="0.25">
      <c r="D481" s="5">
        <v>79023</v>
      </c>
      <c r="E481" s="9" t="s">
        <v>351</v>
      </c>
      <c r="F481" s="7">
        <v>28572</v>
      </c>
      <c r="G481" s="7">
        <v>57145</v>
      </c>
      <c r="H481" s="7">
        <v>78190</v>
      </c>
      <c r="I481" s="7">
        <v>104253</v>
      </c>
      <c r="J481" s="7">
        <v>130316</v>
      </c>
      <c r="K481" s="7">
        <v>140958</v>
      </c>
      <c r="L481" s="7">
        <v>151600</v>
      </c>
      <c r="M481" s="7">
        <v>162242</v>
      </c>
      <c r="N481" s="7">
        <v>176977</v>
      </c>
      <c r="O481" s="7">
        <v>191560</v>
      </c>
      <c r="P481" s="7">
        <v>199413</v>
      </c>
      <c r="Q481" s="7">
        <v>214287</v>
      </c>
    </row>
    <row r="482" spans="4:17" ht="14.25" customHeight="1" x14ac:dyDescent="0.25">
      <c r="D482" s="5">
        <v>79030</v>
      </c>
      <c r="E482" s="9" t="s">
        <v>352</v>
      </c>
      <c r="F482" s="7">
        <v>47959</v>
      </c>
      <c r="G482" s="7">
        <v>95740</v>
      </c>
      <c r="H482" s="7">
        <v>253336</v>
      </c>
      <c r="I482" s="7">
        <v>324969</v>
      </c>
      <c r="J482" s="7">
        <v>397505</v>
      </c>
      <c r="K482" s="7">
        <v>493463</v>
      </c>
      <c r="L482" s="7">
        <v>575679</v>
      </c>
      <c r="M482" s="7">
        <v>665445</v>
      </c>
      <c r="N482" s="7">
        <v>729936</v>
      </c>
      <c r="O482" s="7">
        <v>806047</v>
      </c>
      <c r="P482" s="7">
        <v>878386</v>
      </c>
      <c r="Q482" s="7">
        <v>-1144578</v>
      </c>
    </row>
    <row r="483" spans="4:17" ht="14.25" customHeight="1" x14ac:dyDescent="0.25">
      <c r="D483" s="5">
        <v>79100</v>
      </c>
      <c r="E483" s="9" t="s">
        <v>353</v>
      </c>
      <c r="F483" s="9">
        <v>-141</v>
      </c>
      <c r="G483" s="9">
        <v>-262</v>
      </c>
      <c r="H483" s="9">
        <v>-370</v>
      </c>
      <c r="I483" s="7">
        <v>-4488</v>
      </c>
      <c r="J483" s="9">
        <v>-629</v>
      </c>
      <c r="K483" s="7">
        <v>-12764</v>
      </c>
      <c r="L483" s="7">
        <v>-16826</v>
      </c>
      <c r="M483" s="7">
        <v>-20879</v>
      </c>
      <c r="N483" s="7">
        <v>-26210</v>
      </c>
      <c r="O483" s="7">
        <v>-30209</v>
      </c>
      <c r="P483" s="7">
        <v>-33263</v>
      </c>
      <c r="Q483" s="7">
        <v>-50994</v>
      </c>
    </row>
    <row r="484" spans="4:17" ht="14.25" customHeight="1" x14ac:dyDescent="0.25">
      <c r="D484" s="5">
        <v>81000</v>
      </c>
      <c r="E484" s="9" t="s">
        <v>354</v>
      </c>
      <c r="F484" s="7">
        <v>4309971</v>
      </c>
      <c r="G484" s="7">
        <v>8604289</v>
      </c>
      <c r="H484" s="7">
        <v>14140827</v>
      </c>
      <c r="I484" s="7">
        <v>19199613</v>
      </c>
      <c r="J484" s="7">
        <v>23792257</v>
      </c>
      <c r="K484" s="7">
        <v>28358910</v>
      </c>
      <c r="L484" s="7">
        <v>32883472</v>
      </c>
      <c r="M484" s="7">
        <v>37714698</v>
      </c>
      <c r="N484" s="7">
        <v>47234971</v>
      </c>
      <c r="O484" s="7">
        <v>57066072</v>
      </c>
      <c r="P484" s="7">
        <v>60558281</v>
      </c>
      <c r="Q484" s="7">
        <v>50629854</v>
      </c>
    </row>
    <row r="485" spans="4:17" ht="14.25" customHeight="1" x14ac:dyDescent="0.25">
      <c r="D485" s="5">
        <v>82000</v>
      </c>
      <c r="E485" s="9" t="s">
        <v>355</v>
      </c>
      <c r="F485" s="7">
        <v>134592</v>
      </c>
      <c r="G485" s="7">
        <v>275898</v>
      </c>
      <c r="H485" s="7">
        <v>458804</v>
      </c>
      <c r="I485" s="7">
        <v>625341</v>
      </c>
      <c r="J485" s="7">
        <v>778443</v>
      </c>
      <c r="K485" s="7">
        <v>923730</v>
      </c>
      <c r="L485" s="7">
        <v>1071448</v>
      </c>
      <c r="M485" s="7">
        <v>1230080</v>
      </c>
      <c r="N485" s="7">
        <v>1444955</v>
      </c>
      <c r="O485" s="7">
        <v>1572376</v>
      </c>
      <c r="P485" s="7">
        <v>1690666</v>
      </c>
      <c r="Q485" s="7">
        <v>3329031</v>
      </c>
    </row>
    <row r="486" spans="4:17" ht="14.25" customHeight="1" x14ac:dyDescent="0.25">
      <c r="D486" s="19"/>
    </row>
    <row r="487" spans="4:17" ht="14.25" customHeight="1" x14ac:dyDescent="0.25">
      <c r="D487" s="19"/>
    </row>
    <row r="488" spans="4:17" ht="14.25" customHeight="1" x14ac:dyDescent="0.25">
      <c r="D488" s="19"/>
      <c r="E488" t="s">
        <v>356</v>
      </c>
      <c r="F488" s="6">
        <f t="shared" ref="F488:Q488" si="6">SUM(F13:F485)</f>
        <v>-1</v>
      </c>
      <c r="G488" s="6">
        <f t="shared" si="6"/>
        <v>-4</v>
      </c>
      <c r="H488" s="6">
        <f t="shared" si="6"/>
        <v>6</v>
      </c>
      <c r="I488" s="6">
        <f t="shared" si="6"/>
        <v>5</v>
      </c>
      <c r="J488" s="6">
        <f t="shared" si="6"/>
        <v>8</v>
      </c>
      <c r="K488" s="6">
        <f t="shared" si="6"/>
        <v>4</v>
      </c>
      <c r="L488" s="6">
        <f t="shared" si="6"/>
        <v>-1</v>
      </c>
      <c r="M488" s="6">
        <f t="shared" si="6"/>
        <v>5</v>
      </c>
      <c r="N488" s="6">
        <f t="shared" si="6"/>
        <v>2</v>
      </c>
      <c r="O488" s="6">
        <f t="shared" si="6"/>
        <v>-2</v>
      </c>
      <c r="P488" s="6">
        <f t="shared" si="6"/>
        <v>-1</v>
      </c>
      <c r="Q488" s="6">
        <f t="shared" si="6"/>
        <v>-97403376</v>
      </c>
    </row>
    <row r="489" spans="4:17" ht="14.25" customHeight="1" x14ac:dyDescent="0.25">
      <c r="D489" s="20">
        <f t="shared" ref="D489:Q489" si="7">SUM(D488)</f>
        <v>0</v>
      </c>
      <c r="E489" s="7">
        <f t="shared" si="7"/>
        <v>0</v>
      </c>
      <c r="F489" s="7">
        <f t="shared" si="7"/>
        <v>-1</v>
      </c>
      <c r="G489" s="7">
        <f t="shared" si="7"/>
        <v>-4</v>
      </c>
      <c r="H489" s="7">
        <f t="shared" si="7"/>
        <v>6</v>
      </c>
      <c r="I489" s="7">
        <f t="shared" si="7"/>
        <v>5</v>
      </c>
      <c r="J489" s="7">
        <f t="shared" si="7"/>
        <v>8</v>
      </c>
      <c r="K489" s="7">
        <f t="shared" si="7"/>
        <v>4</v>
      </c>
      <c r="L489" s="7">
        <f t="shared" si="7"/>
        <v>-1</v>
      </c>
      <c r="M489" s="7">
        <f t="shared" si="7"/>
        <v>5</v>
      </c>
      <c r="N489" s="7">
        <f t="shared" si="7"/>
        <v>2</v>
      </c>
      <c r="O489" s="7">
        <f t="shared" si="7"/>
        <v>-2</v>
      </c>
      <c r="P489" s="6">
        <f t="shared" si="7"/>
        <v>-1</v>
      </c>
      <c r="Q489" s="6">
        <f t="shared" si="7"/>
        <v>-97403376</v>
      </c>
    </row>
    <row r="490" spans="4:17" ht="14.25" customHeight="1" x14ac:dyDescent="0.25"/>
    <row r="491" spans="4:17" ht="14.25" customHeight="1" x14ac:dyDescent="0.25"/>
    <row r="492" spans="4:17" ht="14.25" customHeight="1" x14ac:dyDescent="0.25"/>
    <row r="493" spans="4:17" ht="14.25" customHeight="1" x14ac:dyDescent="0.25"/>
    <row r="494" spans="4:17" ht="14.25" customHeight="1" x14ac:dyDescent="0.25"/>
    <row r="495" spans="4:17" ht="14.25" customHeight="1" x14ac:dyDescent="0.25"/>
    <row r="496" spans="4:17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</sheetData>
  <mergeCells count="1">
    <mergeCell ref="B5:D5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 Monthly Trial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mpezanoski</dc:creator>
  <dc:description/>
  <cp:lastModifiedBy>Pritam Saha</cp:lastModifiedBy>
  <cp:revision>0</cp:revision>
  <dcterms:created xsi:type="dcterms:W3CDTF">2014-05-23T17:27:54Z</dcterms:created>
  <dcterms:modified xsi:type="dcterms:W3CDTF">2026-10-02T10:08:43Z</dcterms:modified>
  <dc:language>en-US</dc:language>
</cp:coreProperties>
</file>